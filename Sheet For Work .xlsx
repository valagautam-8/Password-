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0" yWindow="0" windowWidth="23865" windowHeight="9810" activeTab="3"/>
  </bookViews>
  <sheets>
    <sheet name="Details " sheetId="1" r:id="rId1"/>
    <sheet name="ITEM _____NAME " sheetId="2" r:id="rId2"/>
    <sheet name="Customer   CODE   " sheetId="3" r:id="rId3"/>
    <sheet name="Vehical No ---" sheetId="4" r:id="rId4"/>
    <sheet name="MATERIAL CODE " sheetId="5" r:id="rId5"/>
    <sheet name="MATERIAL____CODE " sheetId="6" state="hidden" r:id="rId6"/>
    <sheet name="Customer   CODE    (2)" sheetId="7" state="hidden" r:id="rId7"/>
    <sheet name="Sheet2" sheetId="8" r:id="rId8"/>
    <sheet name="01.01.2026 __TO   Continue ___" sheetId="9" r:id="rId9"/>
    <sheet name="CALCULATION " sheetId="10" r:id="rId10"/>
    <sheet name="P.LIST CODE " sheetId="11" state="hidden" r:id="rId11"/>
    <sheet name="SAP E - MAIL BATCH " sheetId="12" r:id="rId12"/>
    <sheet name="4.10. 2025 __ DETAILS  (2)" sheetId="13" state="hidden" r:id="rId13"/>
    <sheet name="STO " sheetId="14" state="hidden" r:id="rId14"/>
    <sheet name="SAP     ISSUE " sheetId="15" state="hidden" r:id="rId15"/>
    <sheet name="CREDIT NOTE PROCESS " sheetId="16" state="hidden" r:id="rId16"/>
    <sheet name="Pdf Edit Name Site " sheetId="17" state="hidden" r:id="rId17"/>
    <sheet name="E-way Bill  ______" sheetId="18" state="hidden" r:id="rId18"/>
    <sheet name="Documents Submission " sheetId="19" state="hidden" r:id="rId19"/>
    <sheet name="Vehical No " sheetId="20" state="hidden" r:id="rId20"/>
    <sheet name="EXPORT DOCUMENTS PROCESS " sheetId="21" state="hidden" r:id="rId21"/>
    <sheet name="HSN Code " sheetId="22" state="hidden" r:id="rId22"/>
    <sheet name="SAP Process " sheetId="23" state="hidden" r:id="rId23"/>
    <sheet name="STO Calculation " sheetId="24" state="hidden" r:id="rId24"/>
    <sheet name="ITEM NAME" sheetId="25" state="hidden" r:id="rId25"/>
    <sheet name="Sheet1" sheetId="26" state="hidden" r:id="rId26"/>
    <sheet name="ONE DRIVE ID - PASSEORD " sheetId="27" state="hidden" r:id="rId27"/>
    <sheet name="ALL____ORDER_PROCESS " sheetId="28" state="hidden" r:id="rId28"/>
    <sheet name="PURCHASE ORDER  _______CPPL" sheetId="29" state="hidden" r:id="rId29"/>
    <sheet name="E-MAIL___________CPPL " sheetId="30" state="hidden" r:id="rId30"/>
    <sheet name="VLOOKUP FORMULA  " sheetId="31" state="hidden" r:id="rId31"/>
    <sheet name="SOCIETY ACCOUNT " sheetId="32" state="hidden" r:id="rId32"/>
    <sheet name="Resume Make Website Name " sheetId="33" state="hidden" r:id="rId33"/>
    <sheet name="SALARY  CHECK " sheetId="34" r:id="rId34"/>
  </sheets>
  <definedNames>
    <definedName name="_">'01.01.2026 __TO   Continue ___'!$M$5</definedName>
    <definedName name="_xlnm._FilterDatabase" localSheetId="8" hidden="1">'01.01.2026 __TO   Continue ___'!$A$1:$N$60</definedName>
    <definedName name="_xlnm._FilterDatabase" localSheetId="12" hidden="1">'4.10. 2025 __ DETAILS  (2)'!$A$1:$K$44</definedName>
    <definedName name="_xlnm._FilterDatabase" localSheetId="2" hidden="1">'Customer   CODE   '!$A$1:$C$3</definedName>
    <definedName name="_xlnm._FilterDatabase" localSheetId="6" hidden="1">'Customer   CODE    (2)'!$A$1:$D$88</definedName>
    <definedName name="_xlnm._FilterDatabase" localSheetId="0" hidden="1">'Details '!$A$1:$D$9</definedName>
    <definedName name="_xlnm._FilterDatabase" localSheetId="1" hidden="1">'ITEM _____NAME '!$B$1:$E$43</definedName>
    <definedName name="_xlnm._FilterDatabase" localSheetId="24" hidden="1">'ITEM NAME'!$A$1:$C$273</definedName>
    <definedName name="_xlnm._FilterDatabase" localSheetId="4" hidden="1">'MATERIAL CODE '!$A$1:$J$215</definedName>
    <definedName name="_xlnm._FilterDatabase" localSheetId="23" hidden="1">'STO Calculation '!$A$1:$I$46</definedName>
    <definedName name="_xlnm._FilterDatabase" localSheetId="3" hidden="1">'Vehical No ---'!$A$1:$K$37</definedName>
    <definedName name="asas">'Vehical No ---'!$A$24</definedName>
    <definedName name="_xlnm.Criteria" localSheetId="4">'MATERIAL CODE '!$C$1:$D$1</definedName>
    <definedName name="LA_MERE_HEALTHCARE_PRIVATE_LIMITED" localSheetId="0">'MATERIAL CODE '!$D$48</definedName>
    <definedName name="PASSWORD_FILE" localSheetId="0" hidden="1">'Details '!#REF!</definedName>
    <definedName name="_xlnm.Print_Area" localSheetId="3">'Vehical No ---'!$B$2:$B$51</definedName>
    <definedName name="Z_A64AFDE2_6659_43B3_B48A_E1D24723F51D_.wvu.Cols" localSheetId="8" hidden="1">'01.01.2026 __TO   Continue ___'!$C:$D,'01.01.2026 __TO   Continue ___'!$G:$G,'01.01.2026 __TO   Continue ___'!$M:$M</definedName>
    <definedName name="Z_A64AFDE2_6659_43B3_B48A_E1D24723F51D_.wvu.Cols" localSheetId="0" hidden="1">'Details '!$T:$V</definedName>
    <definedName name="Z_A64AFDE2_6659_43B3_B48A_E1D24723F51D_.wvu.Cols" localSheetId="23" hidden="1">'STO Calculation '!$G:$G,'STO Calculation '!$J:$Q</definedName>
    <definedName name="Z_A64AFDE2_6659_43B3_B48A_E1D24723F51D_.wvu.FilterData" localSheetId="8" hidden="1">'01.01.2026 __TO   Continue ___'!$A$1:$N$45</definedName>
    <definedName name="Z_A64AFDE2_6659_43B3_B48A_E1D24723F51D_.wvu.FilterData" localSheetId="12" hidden="1">'4.10. 2025 __ DETAILS  (2)'!$A$1:$K$44</definedName>
    <definedName name="Z_A64AFDE2_6659_43B3_B48A_E1D24723F51D_.wvu.FilterData" localSheetId="0" hidden="1">'Details '!$A$1:$D$9</definedName>
    <definedName name="Z_A64AFDE2_6659_43B3_B48A_E1D24723F51D_.wvu.FilterData" localSheetId="24" hidden="1">'ITEM NAME'!$A$1:$C$273</definedName>
    <definedName name="Z_A64AFDE2_6659_43B3_B48A_E1D24723F51D_.wvu.FilterData" localSheetId="23" hidden="1">'STO Calculation '!$A$1:$I$46</definedName>
    <definedName name="Z_A64AFDE2_6659_43B3_B48A_E1D24723F51D_.wvu.FilterData" localSheetId="3" hidden="1">'Vehical No ---'!$A$1:$H$59</definedName>
  </definedNames>
  <calcPr calcId="144525" concurrentCalc="0"/>
</workbook>
</file>

<file path=xl/calcChain.xml><?xml version="1.0" encoding="utf-8"?>
<calcChain xmlns="http://schemas.openxmlformats.org/spreadsheetml/2006/main">
  <c r="E17" i="31"/>
  <c r="E16"/>
  <c r="E15"/>
  <c r="E14"/>
  <c r="E13"/>
  <c r="E12"/>
  <c r="E11"/>
  <c r="E10"/>
  <c r="E9"/>
  <c r="E8"/>
  <c r="E7"/>
  <c r="E6"/>
  <c r="E5"/>
  <c r="E4"/>
  <c r="E3"/>
  <c r="F2"/>
  <c r="E2"/>
  <c r="H22" i="26"/>
  <c r="H20"/>
  <c r="H18"/>
  <c r="T52" i="24"/>
  <c r="V49"/>
  <c r="R49"/>
  <c r="T48"/>
  <c r="V46"/>
  <c r="U46"/>
  <c r="T46"/>
  <c r="S46"/>
  <c r="R46"/>
  <c r="V45"/>
  <c r="R45"/>
  <c r="V44"/>
  <c r="R44"/>
  <c r="V43"/>
  <c r="R43"/>
  <c r="V42"/>
  <c r="R42"/>
  <c r="V41"/>
  <c r="R41"/>
  <c r="V40"/>
  <c r="R40"/>
  <c r="V39"/>
  <c r="R39"/>
  <c r="V38"/>
  <c r="R38"/>
  <c r="V37"/>
  <c r="R37"/>
  <c r="V36"/>
  <c r="R36"/>
  <c r="V35"/>
  <c r="R35"/>
  <c r="V34"/>
  <c r="R34"/>
  <c r="V33"/>
  <c r="R33"/>
  <c r="V32"/>
  <c r="R32"/>
  <c r="V31"/>
  <c r="R31"/>
  <c r="V30"/>
  <c r="R30"/>
  <c r="V29"/>
  <c r="R29"/>
  <c r="V28"/>
  <c r="R28"/>
  <c r="V27"/>
  <c r="R27"/>
  <c r="V26"/>
  <c r="R26"/>
  <c r="V25"/>
  <c r="R25"/>
  <c r="V24"/>
  <c r="R24"/>
  <c r="V23"/>
  <c r="R23"/>
  <c r="V22"/>
  <c r="R22"/>
  <c r="V21"/>
  <c r="R21"/>
  <c r="V20"/>
  <c r="R20"/>
  <c r="V19"/>
  <c r="R19"/>
  <c r="V18"/>
  <c r="R18"/>
  <c r="V17"/>
  <c r="R17"/>
  <c r="V16"/>
  <c r="R16"/>
  <c r="V15"/>
  <c r="R15"/>
  <c r="V14"/>
  <c r="R14"/>
  <c r="V13"/>
  <c r="R13"/>
  <c r="V12"/>
  <c r="R12"/>
  <c r="V11"/>
  <c r="R11"/>
  <c r="V10"/>
  <c r="R10"/>
  <c r="V9"/>
  <c r="R9"/>
  <c r="V8"/>
  <c r="R8"/>
  <c r="V7"/>
  <c r="R7"/>
  <c r="V6"/>
  <c r="R6"/>
  <c r="V5"/>
  <c r="R5"/>
  <c r="V4"/>
  <c r="R4"/>
  <c r="V3"/>
  <c r="R3"/>
  <c r="V2"/>
  <c r="R2"/>
  <c r="H17" i="23"/>
  <c r="J9"/>
  <c r="F50" i="18"/>
  <c r="F48"/>
  <c r="F54" i="14"/>
  <c r="F52"/>
  <c r="C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B34" i="13"/>
  <c r="B33"/>
  <c r="B32"/>
  <c r="B31"/>
  <c r="D30"/>
  <c r="B30"/>
  <c r="B29"/>
  <c r="B28"/>
  <c r="B27"/>
  <c r="B26"/>
  <c r="B25"/>
  <c r="B24"/>
  <c r="B23"/>
  <c r="B22"/>
  <c r="D13"/>
  <c r="E41" i="12"/>
  <c r="D41"/>
  <c r="C41"/>
  <c r="E40"/>
  <c r="D40"/>
  <c r="C40"/>
  <c r="I11"/>
  <c r="O6"/>
  <c r="P5"/>
  <c r="B4"/>
  <c r="E3"/>
  <c r="D3"/>
  <c r="C3"/>
  <c r="P2"/>
  <c r="Z1"/>
  <c r="A56" i="10"/>
  <c r="C52"/>
  <c r="A44"/>
  <c r="G43"/>
  <c r="A42"/>
  <c r="A41"/>
  <c r="C30"/>
  <c r="C29"/>
  <c r="C25"/>
  <c r="A25"/>
  <c r="C17"/>
  <c r="C16"/>
  <c r="C15"/>
  <c r="C14"/>
  <c r="E11"/>
  <c r="C8"/>
  <c r="A8"/>
  <c r="E7"/>
  <c r="D7"/>
  <c r="C7"/>
  <c r="E6"/>
  <c r="D6"/>
  <c r="C6"/>
  <c r="E5"/>
  <c r="D5"/>
  <c r="C5"/>
  <c r="E4"/>
  <c r="D4"/>
  <c r="C4"/>
  <c r="G2"/>
  <c r="E2"/>
  <c r="D2"/>
  <c r="F63" i="9"/>
  <c r="F50"/>
  <c r="F44"/>
  <c r="F7"/>
  <c r="J9" i="8"/>
  <c r="G9"/>
  <c r="C9"/>
  <c r="J2"/>
  <c r="I2"/>
  <c r="H2"/>
  <c r="G2"/>
  <c r="A467" i="7"/>
  <c r="A461"/>
  <c r="A455"/>
  <c r="A441"/>
  <c r="A435"/>
  <c r="A428"/>
  <c r="A495" i="3"/>
  <c r="A489"/>
  <c r="A483"/>
  <c r="A471"/>
  <c r="A464"/>
  <c r="A458"/>
  <c r="K27" i="1"/>
  <c r="L25"/>
</calcChain>
</file>

<file path=xl/sharedStrings.xml><?xml version="1.0" encoding="utf-8"?>
<sst xmlns="http://schemas.openxmlformats.org/spreadsheetml/2006/main" count="5043" uniqueCount="2377">
  <si>
    <t xml:space="preserve">COMPANY NAME </t>
  </si>
  <si>
    <t xml:space="preserve">ADDRESS - NAME </t>
  </si>
  <si>
    <t xml:space="preserve">43 - BRIGHTNESS </t>
  </si>
  <si>
    <t>YFRT</t>
  </si>
  <si>
    <t>Header Freight Chrg</t>
  </si>
  <si>
    <t>1108 - PRINTER CATRIDGE</t>
  </si>
  <si>
    <t xml:space="preserve">TUSHAR SIR </t>
  </si>
  <si>
    <t>1.10.2024</t>
  </si>
  <si>
    <t xml:space="preserve">SAP START DATE </t>
  </si>
  <si>
    <t xml:space="preserve">Consignee - shipping Address </t>
  </si>
  <si>
    <t>https://use.ai/?model=gpt-5&amp;utm_match_type=e&amp;utm_funnel=&amp;partner=WM&amp;id=Z29vZ2xlfGNwY3xXVy1FTi1UMi1BbGxEZXZpY2VzLVNlYXJjaC1Vc2VBSXwyMzEzNjg5NTYzN3xlbWFpbCB3cml0aW5nIGFpfDc5MjU1Njk3ODczN3x8MjAwMDU0MDA4OTg4fFdXLUVOLVQyLUVtYWlsLVdyaXRpbmctRXhhY3R8NzkyNTU2OTc4NzM3fHx8fHx8RUFJYUlRb2JDaE1Jai12QnpzQ0trd01Wb2FKbUFoMmpRaXNYRUFBWUF5QUFFZ0xJR19EX0J3RXx8fA&amp;url=https%3A%2F%2Fuse.ai%3Fmodel%3Dgpt-5&amp;gad_source=1&amp;gad_campaignid=23136895637</t>
  </si>
  <si>
    <t>CAREGROUP SIGHT SOLUTION PRIVATE LIMITED</t>
  </si>
  <si>
    <t xml:space="preserve">BLOCK NO 310/E  ROOM NO 01  BESIDE OF GOODS LIFT </t>
  </si>
  <si>
    <t>Password</t>
  </si>
  <si>
    <t>G@#10293847</t>
  </si>
  <si>
    <t>GJ06AV8725</t>
  </si>
  <si>
    <t>PDF!</t>
  </si>
  <si>
    <t xml:space="preserve">1020 - SURESHBHAI </t>
  </si>
  <si>
    <t xml:space="preserve">SINGH SIR </t>
  </si>
  <si>
    <t>NAV COD START DATE</t>
  </si>
  <si>
    <t>24AAICC5609E1ZX</t>
  </si>
  <si>
    <t xml:space="preserve">VILLAGE DABHASA , TAL - PADRA DABHASA </t>
  </si>
  <si>
    <t>Cycle Open Windows</t>
  </si>
  <si>
    <t>Alt + Esc</t>
  </si>
  <si>
    <t xml:space="preserve">IP ADDRES  - 10.10.2.112 - GAUTAM 
</t>
  </si>
  <si>
    <t>Buyer Name  - PAYMENT KARNAR</t>
  </si>
  <si>
    <t xml:space="preserve">DABHASA </t>
  </si>
  <si>
    <t>CORRUGATED BOX</t>
  </si>
  <si>
    <t xml:space="preserve">C4S E - WAY BILL Latest Password </t>
  </si>
  <si>
    <t>CaRe#2525</t>
  </si>
  <si>
    <t xml:space="preserve">Sold to Party - Bill Karnar je party ne mokle te </t>
  </si>
  <si>
    <t xml:space="preserve">CARE4 SIGHT PHARMA PRIVATE LIMITED </t>
  </si>
  <si>
    <t xml:space="preserve">BLOCK NO 271 ,  VILLAGE DABHASA TAL PADRA  </t>
  </si>
  <si>
    <t>24AAICC4432F1Z0</t>
  </si>
  <si>
    <t xml:space="preserve">PADRA - JAMBUSAR ROAD DABHASA </t>
  </si>
  <si>
    <t xml:space="preserve">VADODARA </t>
  </si>
  <si>
    <t xml:space="preserve">Ship to Party  - jene Moklavanu che te </t>
  </si>
  <si>
    <t xml:space="preserve">TOTAL DIMNESION WT = 58*46*46/6000*26 BOXES </t>
  </si>
  <si>
    <t xml:space="preserve">ITEM </t>
  </si>
  <si>
    <t>HSN</t>
  </si>
  <si>
    <t xml:space="preserve">INTRAOCULAR LENS   </t>
  </si>
  <si>
    <t>DISPOSABLE INJECTOR (YPF)</t>
  </si>
  <si>
    <t xml:space="preserve">INTRAOCULAR LENS   WITH  INJECTOR CARTRIDGE </t>
  </si>
  <si>
    <t>SDCL 1.85 mm x 45 (NM)</t>
  </si>
  <si>
    <t>DISPOSABLE INJ/CART 1.85 MM (IPCL)</t>
  </si>
  <si>
    <t>RUPPES</t>
  </si>
  <si>
    <t>ITEM NAME</t>
  </si>
  <si>
    <t>DESCRIPTION</t>
  </si>
  <si>
    <t xml:space="preserve">HSN CODE </t>
  </si>
  <si>
    <t>VISCOLON P.F.SYRINGE 3ML(P)</t>
  </si>
  <si>
    <t>HYDROXYPROPYL METHYLCELLLOSE OPHTHALMIC SOLUTION USP</t>
  </si>
  <si>
    <t>CONTASOL(BSS)-PP (1*500ML)</t>
  </si>
  <si>
    <t>STERILE OPHTHALMIC IRRIGATING SOLUTION (BALANCED SALT SOLUTION )</t>
  </si>
  <si>
    <t>DISPOSABLE 23 G ANGULAR CANNULA</t>
  </si>
  <si>
    <t>BLUE RHEXIS ( 1X5)</t>
  </si>
  <si>
    <t>TRYPAN BLUE SOLUTION</t>
  </si>
  <si>
    <t>HYPROSOL 5ML</t>
  </si>
  <si>
    <t>HYPROMELLOSE OPHTHALMIC SOLUTION USP</t>
  </si>
  <si>
    <t>GONIOVISC 2.5% 15ML</t>
  </si>
  <si>
    <t>MAYOVISC 8MG PFS - 6 ML</t>
  </si>
  <si>
    <t>SODIUM HYALURONATE STERILE INJECTION 8 MG / ML-WITH CANNULA</t>
  </si>
  <si>
    <t>BLUE TOD 1ML(1X5)</t>
  </si>
  <si>
    <t>MOCARE-V 5X1 ML VIAL</t>
  </si>
  <si>
    <t>MOXIFLOXACIN OPHTHALMIC  SOLUTION USP 0.5%W/V-1ML</t>
  </si>
  <si>
    <t>MOCARE GEL EYE DROPS 5ML</t>
  </si>
  <si>
    <t>MOXIFLOXACIN EYE DROPS IP</t>
  </si>
  <si>
    <t>TROPICARE PLUS EYE DROPS 5ML</t>
  </si>
  <si>
    <t>TROPICAMIDE WITH PHENYLEPHRINE OPHTHALMIC SOLUTION</t>
  </si>
  <si>
    <t>MOCARE-LP EYE DROPS  5ML</t>
  </si>
  <si>
    <t>VISCOLON PFS 3ML</t>
  </si>
  <si>
    <t>BLUE RHEXIS PFS 1.0ML</t>
  </si>
  <si>
    <t>TRYPAN BLUE SOLUTION-WITH CANNULA</t>
  </si>
  <si>
    <t>VISCOLON P.F.SYRINGE 2ML(P)</t>
  </si>
  <si>
    <t>HYDROXYPROPYL METHYLCELLLOSE OPHTHALMIC SOLUTION USP-WITH CANNULA</t>
  </si>
  <si>
    <t>VISCOLON-5ML VIAL</t>
  </si>
  <si>
    <t>HPMC OPHTHALMIC SOLUTION USP 2  %W/V-5 ML WITH CANNULA</t>
  </si>
  <si>
    <t>CONTASOL PLUS KIT OF BSS 20ML(PART-II)</t>
  </si>
  <si>
    <t>CONTASOL PLUS KIT OF BSS 480ML(PART-I)</t>
  </si>
  <si>
    <t>BLUE RHEXIS 1.0ML VIAL</t>
  </si>
  <si>
    <t>TRYPAN BLUE SOLUTION 0.06 %W/V 1 ML</t>
  </si>
  <si>
    <t>D-HYAL 1.8% P.F SYRINGE 1ML</t>
  </si>
  <si>
    <t>SODIUM HYALURONATE OPHTHALMIC SOLUTION</t>
  </si>
  <si>
    <t>D BLUE 1ML</t>
  </si>
  <si>
    <t>FLUO STRIPS(1*100)</t>
  </si>
  <si>
    <t>FLUORESCEIN SODIUM OPHTHALMIC STRIPS USP</t>
  </si>
  <si>
    <t>CONTASOL(BSS)-PP (1*250ML)</t>
  </si>
  <si>
    <t>HILURON 1.4% P.F. SYRINGES 1.0ML</t>
  </si>
  <si>
    <t>SODIUM HYALURONATE OPHTHALMIC SOLUTION-WITH CANNULA</t>
  </si>
  <si>
    <t xml:space="preserve">SPECLEAN </t>
  </si>
  <si>
    <t xml:space="preserve">40 ML </t>
  </si>
  <si>
    <t xml:space="preserve">HYTASONE 8 MG PFS 6 ML </t>
  </si>
  <si>
    <t>SODIUM HYALURONATE STERILE INJECTION 8 MG / ML - WITH CANNULA</t>
  </si>
  <si>
    <t>CONTASIL 1300 - 10ML VIAL</t>
  </si>
  <si>
    <t>SILICONE OIL (STERILE LIQUID 1300 CST)</t>
  </si>
  <si>
    <t>CONTASIL 1000 VIAL 10ML</t>
  </si>
  <si>
    <t>SILICONE OIL (STERILE LIQUID 1000 CST)</t>
  </si>
  <si>
    <t>HILURON 1.8% P.F. SYRINGES 1.0ML</t>
  </si>
  <si>
    <t xml:space="preserve">VISCOLON PLUS P.F SYRINGES 2 ML </t>
  </si>
  <si>
    <t xml:space="preserve">HYDROXYPROPYL METHYLCELLOSE OPHTHALMIC SOLUTION USP WITH CANNULA </t>
  </si>
  <si>
    <t>CONTASOL(BSS)-GLASS(1*500ML)</t>
  </si>
  <si>
    <t>CONTASOL(BSS)-PP (1*100ML)</t>
  </si>
  <si>
    <t xml:space="preserve">NEW ZYONATE PLUS PFS 1 ML PFS </t>
  </si>
  <si>
    <t>HYLUCOAT PFS 1.0ML</t>
  </si>
  <si>
    <t>CHONDROITIN SULFATE SODIUM &amp; SODIUM HYALURONATE OPHTHALMIC-WITH CANNULA</t>
  </si>
  <si>
    <t>FLUO STRIPS(1*300)</t>
  </si>
  <si>
    <t>CONTASOL(BSS)-GLASS(1*250ML)</t>
  </si>
  <si>
    <t>VISCOLON P.F SYRINGE 2 ML</t>
  </si>
  <si>
    <t xml:space="preserve">HYDROXYPROPYL METHYCELLOSE OPHTHALMIC SOLUTION USP WITH CANNULA </t>
  </si>
  <si>
    <t xml:space="preserve">BLUE RHEXIS </t>
  </si>
  <si>
    <t>OSTEO VISC PFS 6ML</t>
  </si>
  <si>
    <t>EYE GEL PLUS 2.4% P.F. SYRINGES 2.0ML</t>
  </si>
  <si>
    <t>EYE GEL 2.0% P.F. SYRINGES 2.0ML</t>
  </si>
  <si>
    <t>NO</t>
  </si>
  <si>
    <t>CODE</t>
  </si>
  <si>
    <t>ADDRESS</t>
  </si>
  <si>
    <t>CAREGROUP SIGHT SOLUTION PRIVATE LIMITED DABHASA BESIDE OF GOODS LIFT VILLAGE -DABHASA ,</t>
  </si>
  <si>
    <t>TAL -PADRA, BLOCK NO 310/E , ROOM NO 1, DIST-VADODARA-391440 391440 DABHASA INDIA</t>
  </si>
  <si>
    <t>UHC PHARMACEUTICAL</t>
  </si>
  <si>
    <t>LADIES HOSTEL,SWASTIK CROSS</t>
  </si>
  <si>
    <t>ROAD,AHMEDABAD-380009</t>
  </si>
  <si>
    <t>101-SHASWAT COMPLEX,OPP.ST.XAVIER</t>
  </si>
  <si>
    <t>380009 AHMEDABAD</t>
  </si>
  <si>
    <t>INDIA</t>
  </si>
  <si>
    <t>DABHASA</t>
  </si>
  <si>
    <t>VILLAGE SIM DABHASA</t>
  </si>
  <si>
    <t>TA.PADRA DIST VADODARA,</t>
  </si>
  <si>
    <t>BLOCK NO 310/ C &amp; E OF</t>
  </si>
  <si>
    <t>GUJARAT-391440.</t>
  </si>
  <si>
    <t>391440 DABHASA</t>
  </si>
  <si>
    <t>BUSCH VACUUM INDIA PRIVATE LIMITED / 122050 GURGAO</t>
  </si>
  <si>
    <t>DEXA CARE PVT LTD</t>
  </si>
  <si>
    <t xml:space="preserve">OLD ADDRESS </t>
  </si>
  <si>
    <t>UNIT BT 3,B-1/D-2,MOHAN</t>
  </si>
  <si>
    <t>COOPERATIVE INDUSTRIAL-ESTATE,NEWDELHI</t>
  </si>
  <si>
    <t xml:space="preserve">NEWDELHI </t>
  </si>
  <si>
    <t>UNIT-B, GROUND FLOOR, E-47/2, OKHLA INDUSTRIAL AREA, PHASE-2, NEW DELHI 110020</t>
  </si>
  <si>
    <t>INTAS PHARMACEUTICALS LTD.</t>
  </si>
  <si>
    <t>24AAACI5120L1ZU</t>
  </si>
  <si>
    <t>DPG-PLOT NO-511/1,OPP.PHARMEZ,MATODA-TALUKA</t>
  </si>
  <si>
    <t>SANAND-AHMEDABAD382210</t>
  </si>
  <si>
    <t>AHMEDABAD</t>
  </si>
  <si>
    <t>AADPRI OPHTHALMIC COMPANY</t>
  </si>
  <si>
    <t>24BMNPP3972L1ZD</t>
  </si>
  <si>
    <t>G-15,MAHAVIRTOWER,NEAR BHUYANGDEV</t>
  </si>
  <si>
    <t>CROSS ROAD,NR.CP NAGAR,GHATLODIA,</t>
  </si>
  <si>
    <t>AHMEDABAD-380061,GUJARAT</t>
  </si>
  <si>
    <t>THE CIVIL SURGEON-CUM SUPERINTENDENT DISTRICT HOSPITAL KHANDWA</t>
  </si>
  <si>
    <t>DISTRICT HOSPITAL, GANESH-</t>
  </si>
  <si>
    <t>GANJ MATERNITY,</t>
  </si>
  <si>
    <t>THE SECRETORY ROGI KALYAN SAMITI</t>
  </si>
  <si>
    <t>450001 KHANDWA</t>
  </si>
  <si>
    <t xml:space="preserve">BIO-ORIGIN PHARMA PRIVATE LIMITE </t>
  </si>
  <si>
    <t>07AAMCB3836G1ZL</t>
  </si>
  <si>
    <t>FIRST FLOOR,B-112,DDA SHEDS</t>
  </si>
  <si>
    <t>OKHLA INDUSTRIAL ESTATE PHASE -1</t>
  </si>
  <si>
    <t xml:space="preserve">NEW DELHI </t>
  </si>
  <si>
    <r>
      <rPr>
        <b/>
        <sz val="48"/>
        <color rgb="FF000000"/>
        <rFont val="Courier New"/>
        <charset val="134"/>
      </rPr>
      <t xml:space="preserve">KEMGEN BIOLOGICS PRIVATE LIMITED PORTION OF RIGHT SIDE BEHIND, </t>
    </r>
    <r>
      <rPr>
        <b/>
        <sz val="48"/>
        <rFont val="Courier New"/>
        <charset val="134"/>
      </rPr>
      <t xml:space="preserve"> </t>
    </r>
  </si>
  <si>
    <t xml:space="preserve"> HERITAGE MILK PARLOUR,PAPARAYADU ,</t>
  </si>
  <si>
    <t>H.NO.4-42-1032/2,GROUND FLOOR,PART, NAGAR,KUKATPALLY</t>
  </si>
  <si>
    <t>MANDAL,MEDCHAL-MALKAJGIRI,</t>
  </si>
  <si>
    <t>500072 - HYDRABAD</t>
  </si>
  <si>
    <t xml:space="preserve">ZYDUS LIFESCIENCES LIMITED </t>
  </si>
  <si>
    <t>24AAACC6253G1ZZ</t>
  </si>
  <si>
    <t>SURVEY NO-396P SARKHEJ-BAVLA NATIONAL HIGHWAY-</t>
  </si>
  <si>
    <t>NO 8A MORAIYA</t>
  </si>
  <si>
    <t>CHANGODAR AHMEDABAD-382213</t>
  </si>
  <si>
    <t>SUNWAYS (INDIA) PVT.LTD</t>
  </si>
  <si>
    <t>24AAACS6228D1ZQ</t>
  </si>
  <si>
    <t>PLOT NO-802,G.I.D.C</t>
  </si>
  <si>
    <t>ESTATE DHOLKA DIST AHMEDABAD PIN 382225</t>
  </si>
  <si>
    <t xml:space="preserve">AHMEDABAD </t>
  </si>
  <si>
    <t>SUNWAYS (INDIA) PVT LTD</t>
  </si>
  <si>
    <t>MUMBAI MAHARASHTRA-400063</t>
  </si>
  <si>
    <t>MEHTA IND ESTATE GOREGAON (EAST)</t>
  </si>
  <si>
    <t>400063 MUMBAI INDIA</t>
  </si>
  <si>
    <t>Medical Choice N de ID: 77.125.800-k Calle Los</t>
  </si>
  <si>
    <t>Jesuitas 544</t>
  </si>
  <si>
    <t>Servicios y comercializadora de Insumos Medicos</t>
  </si>
  <si>
    <t>7501326 SANTIAGO</t>
  </si>
  <si>
    <t>CHILE</t>
  </si>
  <si>
    <t>SPECTRUM INTERNATIONAL  UNIT # C-2, ATLANTA , GA 30318 1345 SEABOARD INDUSTRIAL BLVD NW,</t>
  </si>
  <si>
    <t>ATLANTA  12345 USA</t>
  </si>
  <si>
    <t xml:space="preserve">EXCIMED SDN BHD WISMA ZELAN, JALAN TASIK- PERMAISURI 2,  </t>
  </si>
  <si>
    <t>BANDAR TUN RAZAK, SUIT 12-08 (12 TH FLOOR UNIT 08)</t>
  </si>
  <si>
    <t>56000 KUALA LUMPUR MALAYSIA</t>
  </si>
  <si>
    <t xml:space="preserve">INNOVACIONES NOVEDOSAS UNIVERSALES SA </t>
  </si>
  <si>
    <t>INNOVU 15 CALLE 3-20 ZONA 10 EDIFICIO</t>
  </si>
  <si>
    <t>GUATEMALA,C.A GUATEMALA</t>
  </si>
  <si>
    <t xml:space="preserve">EYEPHARMA(PTY) LTD  </t>
  </si>
  <si>
    <t>UNIT 10 THE PAVILLION,ESPLANADE ROAD SOUTH AFRICA</t>
  </si>
  <si>
    <t>CENTURY CITY, 7441, CAPE TOWN</t>
  </si>
  <si>
    <t>SOUTH AFRICA</t>
  </si>
  <si>
    <t xml:space="preserve">DEXA CARE PVT  LTD </t>
  </si>
  <si>
    <t>DATE - 03.03.2026</t>
  </si>
  <si>
    <t>07AAFCD5283J1ZE</t>
  </si>
  <si>
    <t xml:space="preserve">NEW ADDRESS </t>
  </si>
  <si>
    <t>UNIT-B, GROUND FLOOR, E-47/2,</t>
  </si>
  <si>
    <t>OKHLA INDUSTRIAL AREA, PHASE-2,</t>
  </si>
  <si>
    <t>CONTACARE OPHTHALMICS AND DIAGNOSTICS</t>
  </si>
  <si>
    <t xml:space="preserve">TAL. PADRA,DIST. VADODARA BLOCK NO.310-B/D/E, </t>
  </si>
  <si>
    <t xml:space="preserve">DABHAS INDIA  VILLAGE. DABHASA, 391440 </t>
  </si>
  <si>
    <t xml:space="preserve">MASTRO BIOLOGICALS PRIVATE   </t>
  </si>
  <si>
    <t xml:space="preserve">SOLD TO PARTY </t>
  </si>
  <si>
    <t>LIMITED</t>
  </si>
  <si>
    <t>BUYER'S</t>
  </si>
  <si>
    <t>VELLORE,TAMIL NADU-632006</t>
  </si>
  <si>
    <t>NO-19 NETHAJINAGAR EXT,VIRUTHAMBET,</t>
  </si>
  <si>
    <t>632006 VELLORE</t>
  </si>
  <si>
    <t>MASTRO BIOLOGICALS PRIVATE</t>
  </si>
  <si>
    <t>Change Address Dt - 13.1.2026</t>
  </si>
  <si>
    <t>GANDHI NAGAR WEST, KATPADI,</t>
  </si>
  <si>
    <t>37, 1ST FLOOR, 2ND WEST CROSS ROAD,</t>
  </si>
  <si>
    <t xml:space="preserve">Ship To Party </t>
  </si>
  <si>
    <t>CONSIGNEE</t>
  </si>
  <si>
    <t>KOIL STREET,VIRUTHAMPET,VELLORE,</t>
  </si>
  <si>
    <t>TAMIL NADU-632006</t>
  </si>
  <si>
    <t>DOOR NO-1/1,FIRST FLOOR,PILLAIYAR</t>
  </si>
  <si>
    <t>OPHTALMO SERVICE</t>
  </si>
  <si>
    <t>RUE AL MADINA 9 BTE 4 10005</t>
  </si>
  <si>
    <t>HASSAN RABAT MOROCCO RABAT 10020</t>
  </si>
  <si>
    <t>MOROCCO</t>
  </si>
  <si>
    <t>ENTOD PHARMACEUTICALS LTD</t>
  </si>
  <si>
    <t xml:space="preserve">Ship to Party </t>
  </si>
  <si>
    <t>27AAACE6594N1Z0</t>
  </si>
  <si>
    <t>W-25 (A),M.I.D.C.IND.AREA,</t>
  </si>
  <si>
    <t>ADDL.AMBERNATH,ANAND NAGAR,</t>
  </si>
  <si>
    <t>BANDRA WEST,MUMBAI,</t>
  </si>
  <si>
    <t>421506 THANE</t>
  </si>
  <si>
    <t>MAHARASHTRA-400050</t>
  </si>
  <si>
    <t>THANE</t>
  </si>
  <si>
    <r>
      <rPr>
        <b/>
        <sz val="48"/>
        <color rgb="FFFF0000"/>
        <rFont val="Courier New"/>
        <charset val="134"/>
      </rPr>
      <t>ASHIRWAD</t>
    </r>
    <r>
      <rPr>
        <b/>
        <sz val="48"/>
        <color rgb="FF000000"/>
        <rFont val="Courier New"/>
        <charset val="134"/>
      </rPr>
      <t xml:space="preserve"> BUILDING,S V ROAD,</t>
    </r>
  </si>
  <si>
    <t>400050 MUMBAI</t>
  </si>
  <si>
    <t>ACTUAL ADDRESS ENTOD PHARMACEUTICALS LTD</t>
  </si>
  <si>
    <t xml:space="preserve">SOLD TO PARTY - Billed To </t>
  </si>
  <si>
    <t xml:space="preserve">ASHIRWAD BUILDING, S V ROAD WEST MUMBAI </t>
  </si>
  <si>
    <t>MAHARASHTRA - 400050</t>
  </si>
  <si>
    <t>MUMBAI 400050</t>
  </si>
  <si>
    <t xml:space="preserve">SHIP TO PARTY - Shipped To </t>
  </si>
  <si>
    <t xml:space="preserve">W - 25 (A) M.I.D.C IND AREA ADDL AMBERNATH </t>
  </si>
  <si>
    <t xml:space="preserve">ANAND NAGAR </t>
  </si>
  <si>
    <t xml:space="preserve">THANE </t>
  </si>
  <si>
    <t>SURGI EDGE INDIA</t>
  </si>
  <si>
    <t>24ACVPG0456B1ZW</t>
  </si>
  <si>
    <t>NAVRANGPURA,AHMEDABAD,</t>
  </si>
  <si>
    <t>GUJARAT-380009</t>
  </si>
  <si>
    <t>305,VEDANT,NEAR GANESH PLAZA,</t>
  </si>
  <si>
    <t>LCS - LENTILLES SAS</t>
  </si>
  <si>
    <t>ZARIFIAN, HEROUVILLE-SAINT</t>
  </si>
  <si>
    <t>10 RUE DU PROFESSEUR EDOUARD</t>
  </si>
  <si>
    <t>F-14200 CLAIR</t>
  </si>
  <si>
    <t>14000 CAEN</t>
  </si>
  <si>
    <t>14 PLACE GARDIN,</t>
  </si>
  <si>
    <t>F-14000 CAEN</t>
  </si>
  <si>
    <t>ROMDIS</t>
  </si>
  <si>
    <t>SRL  MINERILOR  NR .45 CLUJ -NAPOCA</t>
  </si>
  <si>
    <t>CLUJ -NAPOCA 400409</t>
  </si>
  <si>
    <t>ROMANIA</t>
  </si>
  <si>
    <t>SIDAPHARM P.C.</t>
  </si>
  <si>
    <t xml:space="preserve"> EM. FILI STR THESSALONIKI</t>
  </si>
  <si>
    <t>GR-54352</t>
  </si>
  <si>
    <t>21, STAGEIRITI &amp; 24,</t>
  </si>
  <si>
    <t>GR-54352 GREECE</t>
  </si>
  <si>
    <t>ACE MEDICAL LTD</t>
  </si>
  <si>
    <t>PETRICH, GEORGIA</t>
  </si>
  <si>
    <t>41, DUNAV STR. 2850</t>
  </si>
  <si>
    <t>BG-0000 PETRICH</t>
  </si>
  <si>
    <t>PHRONEMA SRL</t>
  </si>
  <si>
    <t>70125 BARI BA, ITALY</t>
  </si>
  <si>
    <t>VIA JUNIPERO SERRA-19 ,</t>
  </si>
  <si>
    <t>I-70125 ITALY</t>
  </si>
  <si>
    <t>EYEOL UK LIMITED</t>
  </si>
  <si>
    <t>BOSCOMBE ROAD,BEDFORDSHIRE</t>
  </si>
  <si>
    <t>UNITED KINGDOM.</t>
  </si>
  <si>
    <t>8 APEX BUSINESS CENTRE,</t>
  </si>
  <si>
    <t>DUNSTABLE</t>
  </si>
  <si>
    <t>LU5 4SB</t>
  </si>
  <si>
    <t>UNITED KINGDOM</t>
  </si>
  <si>
    <t>PROLENS AG</t>
  </si>
  <si>
    <t>JOSEFSTRASSE 53 3/CH/80005</t>
  </si>
  <si>
    <t>POSTAL ADDRESS- 2,</t>
  </si>
  <si>
    <t>CH-0000 ZURICH</t>
  </si>
  <si>
    <t>8005 ZURICH, SWITZERLAND</t>
  </si>
  <si>
    <t>HARDTURMSTRASSE 175</t>
  </si>
  <si>
    <t>MEDICONSULT INTRAOCULAR GMBH</t>
  </si>
  <si>
    <t>GERMANY</t>
  </si>
  <si>
    <t>ROTDORNWEG 9, D-52355 DUEREN</t>
  </si>
  <si>
    <t>52355 GERMANY</t>
  </si>
  <si>
    <t>LA MAGHREBINE D'OPTIQUE</t>
  </si>
  <si>
    <t>DISTRIBUTION</t>
  </si>
  <si>
    <t>MERS SULTAN</t>
  </si>
  <si>
    <t>25 RUE EL OQHOWANE</t>
  </si>
  <si>
    <t>20140 CASABLANCA</t>
  </si>
  <si>
    <t>BANQUE CENTRAL POPULAIRE</t>
  </si>
  <si>
    <t>TURE CRYSTALE 1, LA MARINA,</t>
  </si>
  <si>
    <t>20250 CASABLANCA</t>
  </si>
  <si>
    <t>DR. RAHUL RAGHAV</t>
  </si>
  <si>
    <t>VILLA NO. 1187 UMM AL SHEIF</t>
  </si>
  <si>
    <t>AL WASL ROAD</t>
  </si>
  <si>
    <t>QUIRONSALUD MEDICAL INSTITUTE</t>
  </si>
  <si>
    <t>000000 DUBAI</t>
  </si>
  <si>
    <t>UNITED ARAB EMIRATES</t>
  </si>
  <si>
    <t>SEHA PHARMACEUTICALS TRADING L.L.C</t>
  </si>
  <si>
    <t>P.O.Box 4191 Dubai UAE</t>
  </si>
  <si>
    <t>Al Quoz Industrial Area2 Al Aasayal Road</t>
  </si>
  <si>
    <t>4191 DUBAI UAE</t>
  </si>
  <si>
    <t>BIOELITE LIFESCIENCES PVT LTD</t>
  </si>
  <si>
    <t>LSC-III,SECTOR-7,DWARKA,NEW</t>
  </si>
  <si>
    <t>DELHI,DELHI-110077</t>
  </si>
  <si>
    <t>224,SF,VARDHMAN STAR CITY MALL,</t>
  </si>
  <si>
    <t>110077 NEW DELHI</t>
  </si>
  <si>
    <t>MAANAND HEALTHCARE</t>
  </si>
  <si>
    <t>SHRI ADINATH COMPLEX, KASHELI ROAD</t>
  </si>
  <si>
    <t>KALHER VILLAGE,</t>
  </si>
  <si>
    <t>SHOP NO 02, B WING, GROUND FLOOR,</t>
  </si>
  <si>
    <t>421302 BHIWANDI</t>
  </si>
  <si>
    <t>AIR CARGO &amp; CONTAINER SERVICES</t>
  </si>
  <si>
    <t>PRESIDENT WAY,</t>
  </si>
  <si>
    <t>UNIT H, AIRPORT EXECUTIVE PARK</t>
  </si>
  <si>
    <t>LUTON</t>
  </si>
  <si>
    <t>Luton</t>
  </si>
  <si>
    <t>LU2 9NL</t>
  </si>
  <si>
    <t>MEDUS PHARMA</t>
  </si>
  <si>
    <t>NR.ASARWA BRIDGE, HARIPURA, ASARWA,</t>
  </si>
  <si>
    <t>D-307, 3RD FLOOR, ABHISHEK COMPLEX,</t>
  </si>
  <si>
    <t>380016 AHMEDABAD</t>
  </si>
  <si>
    <t>ALSAFA &amp; ALMARWA FOR MED. DEVICES &amp;</t>
  </si>
  <si>
    <t>EQUIP.&amp; IMPORT</t>
  </si>
  <si>
    <t>ABD ELHAKAM GAMIEL TOWER,</t>
  </si>
  <si>
    <t>TANTA-GHARBIA, EGYPT</t>
  </si>
  <si>
    <t>OMAR SAFFAN STREET ,</t>
  </si>
  <si>
    <t>31511 TANTA-GHARBIA</t>
  </si>
  <si>
    <t>EGYPT</t>
  </si>
  <si>
    <t>SEALION TRADING CC</t>
  </si>
  <si>
    <t>PO BOX 81633,OLYMPIA,</t>
  </si>
  <si>
    <t>NA WINDHOEK</t>
  </si>
  <si>
    <t>NAMIBIA</t>
  </si>
  <si>
    <t>17 DAVID CARSTENS STREET,OLYMPIA</t>
  </si>
  <si>
    <t>9000 WINDHOEK</t>
  </si>
  <si>
    <t>MINH NHI MEDICAL EQUIPMENT COMPANY LTD</t>
  </si>
  <si>
    <t>.</t>
  </si>
  <si>
    <t>RD 08, DISTRICT 10,</t>
  </si>
  <si>
    <t>HO CHI MINH CITY, VIETNAM</t>
  </si>
  <si>
    <t>487 - 489 BA HAT STREET, WA</t>
  </si>
  <si>
    <t>HO CHI MINH 000000</t>
  </si>
  <si>
    <t>VIETNAM</t>
  </si>
  <si>
    <t>SIDAPHARM PC</t>
  </si>
  <si>
    <t>6 LAERTOU STR , PILAIA</t>
  </si>
  <si>
    <t>GR-55535 THESSALONIKI</t>
  </si>
  <si>
    <t>OPHTALMO SURGICAL BV</t>
  </si>
  <si>
    <t>OUDENAARDE,</t>
  </si>
  <si>
    <t>INDUSTRIEPARK DE BRUWAAN 5,</t>
  </si>
  <si>
    <t>B-B-9700 ANDERLECHT</t>
  </si>
  <si>
    <t>OPHTALMO SURGICAL</t>
  </si>
  <si>
    <t>EXPERTS MEDICAL SUPPLIES EST.</t>
  </si>
  <si>
    <t>STREET, AL FAISALYI , WESTERN</t>
  </si>
  <si>
    <t>AL-IMAM MOHAMED IBN ABDUL AZIZ,</t>
  </si>
  <si>
    <t>21312 KSA JEDDAH</t>
  </si>
  <si>
    <t>OFTAMEDIC</t>
  </si>
  <si>
    <t>SWITZERLAND</t>
  </si>
  <si>
    <t>36, AVENUE VIBERT, 1212 GRAND LANCY,</t>
  </si>
  <si>
    <t>1212 LANCY</t>
  </si>
  <si>
    <t>KINGDOM OF ESWATINI</t>
  </si>
  <si>
    <t>VISION MEDICA 2000 SA</t>
  </si>
  <si>
    <t xml:space="preserve">ARAOZ 838 - (1414) BUENOS AIRES </t>
  </si>
  <si>
    <t xml:space="preserve">ARGENTINA BUENOS </t>
  </si>
  <si>
    <t xml:space="preserve">AIRES LU5 4SB ARGENTINA </t>
  </si>
  <si>
    <t>OOO KOM SPAN</t>
  </si>
  <si>
    <t>115035,KOSMODAMIANSKYA NAB BLDG 40-42,STR.3</t>
  </si>
  <si>
    <t>FLOOR 1,PREMISES X1II,ROOM 1,MOSCOW</t>
  </si>
  <si>
    <t xml:space="preserve">LU5 4SB RUSSIAN FED </t>
  </si>
  <si>
    <t>MOSCOW</t>
  </si>
  <si>
    <t>GRUPO INFALAB S.R.L</t>
  </si>
  <si>
    <t>URB. FERNANDEZ,</t>
  </si>
  <si>
    <t>SANTO DOMINGO, DN, REPUBLICA DOMINICANA</t>
  </si>
  <si>
    <t>CALLE RADIAL 1 ESQ. ESPIRAL</t>
  </si>
  <si>
    <t>10129 SANTO DOMINGO</t>
  </si>
  <si>
    <t>DOMINICAN REPUBLIC</t>
  </si>
  <si>
    <t>THE SHOP THRU TRADING CORPORATION</t>
  </si>
  <si>
    <t>A DD 12A RITZ ROYAL TOWER 635</t>
  </si>
  <si>
    <t>CAMBA.ST BARAN BARANGAY 110</t>
  </si>
  <si>
    <t>MANILA 635</t>
  </si>
  <si>
    <t>SINGAPORE</t>
  </si>
  <si>
    <t>RADEEP SERVICES</t>
  </si>
  <si>
    <t>77 HIGH STREET # 04-06 HIGH</t>
  </si>
  <si>
    <t>STREET PLAZA,</t>
  </si>
  <si>
    <t>SINGAPORE 179433</t>
  </si>
  <si>
    <t>EMAGIN PTY LTD</t>
  </si>
  <si>
    <t>NSW 2019 SYDNEY</t>
  </si>
  <si>
    <t>AUSTRALIA</t>
  </si>
  <si>
    <t>2/37-39 GREEN STREET BANKSMEADOW</t>
  </si>
  <si>
    <t>SYDNEY 2019</t>
  </si>
  <si>
    <t>I-SENZ MEDICAL,INC.</t>
  </si>
  <si>
    <t>8 ADRIATICO TOWER 1 UNIT H 15/F P.FAURA ST.</t>
  </si>
  <si>
    <t>CORNER J. BOCOBO ST.ERMITA,</t>
  </si>
  <si>
    <t>MANILA PHILIPPINES-1000</t>
  </si>
  <si>
    <t>PHILIPPINES</t>
  </si>
  <si>
    <t>s</t>
  </si>
  <si>
    <t>BAUSCH &amp; LOMB (S) PTE LTD</t>
  </si>
  <si>
    <t>BAUSCH &amp; LOMB (SINGAPORE) PVT. LTD.</t>
  </si>
  <si>
    <t>C/O. ZUELLING PHARMA PTE LTD.</t>
  </si>
  <si>
    <t>C/O ZUELLING PHARMA PTE LTD.</t>
  </si>
  <si>
    <t>LDC RECEIVING, 15 CHANGI NORTH WAY</t>
  </si>
  <si>
    <t>SINGAPORE 498770</t>
  </si>
  <si>
    <t>LENTECH S.A.</t>
  </si>
  <si>
    <t xml:space="preserve">SOLD TO PARTY  </t>
  </si>
  <si>
    <t>BARRANQUILLA,COLOMBIA.</t>
  </si>
  <si>
    <t>CALLE 77B NO.57-141 OFIC 1008,</t>
  </si>
  <si>
    <t>080002 BARRANQUILLA</t>
  </si>
  <si>
    <t>COLOMBIA</t>
  </si>
  <si>
    <t xml:space="preserve">LENTECH S.A </t>
  </si>
  <si>
    <t xml:space="preserve">SHIP TO PARTY </t>
  </si>
  <si>
    <t>DORADO 103–09 EDIFICIO CISA BODEGA</t>
  </si>
  <si>
    <t>4 Y 5 COD. MUISCA 3945</t>
  </si>
  <si>
    <t>DEPOSITO ADUANERO CEDI AV EL,</t>
  </si>
  <si>
    <t>110911 BOGOTA</t>
  </si>
  <si>
    <t>LENSTECH INNOVATIONS PVT LTD</t>
  </si>
  <si>
    <t>NO. 295/45, PIPE ROAD KOSWATTE,BATTARAMULLA</t>
  </si>
  <si>
    <t>10120, COLOMBO SRI LANKA COLOMBO</t>
  </si>
  <si>
    <t>SRI LANKA</t>
  </si>
  <si>
    <t>JVG GLEASON</t>
  </si>
  <si>
    <t>8690 KERNS STREET STE 100, CA,</t>
  </si>
  <si>
    <t>C/O PREMIER BROKERAGE GROUP,</t>
  </si>
  <si>
    <t>SAN DIEGO  92154</t>
  </si>
  <si>
    <t>USA</t>
  </si>
  <si>
    <t>VISTAMERICA S DE RL</t>
  </si>
  <si>
    <t>AVENIDA SINALOA NO.183-3,COLONIA</t>
  </si>
  <si>
    <t>CENTRO SUR,</t>
  </si>
  <si>
    <t>RFC: VIS090928V94,</t>
  </si>
  <si>
    <t>PUERTO PENASCO,83550</t>
  </si>
  <si>
    <t>83550 PUERTO PENASCO</t>
  </si>
  <si>
    <t>MEXICO</t>
  </si>
  <si>
    <t>ARAB EAST MEDICAL SUPPLY</t>
  </si>
  <si>
    <t>STREET-RAZI STREET,</t>
  </si>
  <si>
    <t>JABAL HUSSEIN, AMMAN,</t>
  </si>
  <si>
    <t>BUILDING NUMBER 85,</t>
  </si>
  <si>
    <t>11110 AMMAN</t>
  </si>
  <si>
    <t>JORDAN</t>
  </si>
  <si>
    <t>ZARIF LENS LTD,</t>
  </si>
  <si>
    <t>KABUL ,AFGHANISTAN</t>
  </si>
  <si>
    <t>JADAH - E- TIMORSHAHI</t>
  </si>
  <si>
    <t>FAIR</t>
  </si>
  <si>
    <t>AFGHANISTAN</t>
  </si>
  <si>
    <t>UK IMPLANT MANUFACTURING CO. LTD</t>
  </si>
  <si>
    <t>BOSCOMBE ROAD, DUNSTABLE,</t>
  </si>
  <si>
    <t>BEDFORDSHIRE, LU5 4SB,</t>
  </si>
  <si>
    <t>20 APEX BUSINESS CENTRE,</t>
  </si>
  <si>
    <t>BEDFORDSHIRE</t>
  </si>
  <si>
    <t>LU5 4S</t>
  </si>
  <si>
    <t>I ALPHAMED LTD.</t>
  </si>
  <si>
    <t>TSEUNG KWAN O,TSEUNG KWAN O,</t>
  </si>
  <si>
    <t>17A ,TOWER 6, PARK CENTRAL</t>
  </si>
  <si>
    <t>000000 TSEUNG KWAN O,</t>
  </si>
  <si>
    <t>HONG KONG</t>
  </si>
  <si>
    <t>I ALPHAMED LTD</t>
  </si>
  <si>
    <t>FUNG YIP STREET, KAILEY BUILDING</t>
  </si>
  <si>
    <t>WORKSHOP 1, 8TH FLOOR, BLOCK B 1</t>
  </si>
  <si>
    <t>000000 CHAI WAN</t>
  </si>
  <si>
    <t>EYEGEN MEDICAL LLP</t>
  </si>
  <si>
    <t>VANNARAPATHAI,KODAMBAKKAM,</t>
  </si>
  <si>
    <t>CHENNAI,TAMILNADU-600024</t>
  </si>
  <si>
    <t>NEW NO-7,OLD NO-18,FIRST FLOOR</t>
  </si>
  <si>
    <t>600024 CHENNAI</t>
  </si>
  <si>
    <t>GLOBAL HEALTH</t>
  </si>
  <si>
    <t>36AJDPA2271R1Z2</t>
  </si>
  <si>
    <t>GROUND FLOOR, 10-1-50, BAITUL AMAN,</t>
  </si>
  <si>
    <t>KHAIRTABAD ROAD, MJ GENERAL STORE,</t>
  </si>
  <si>
    <t>HYDERABAD</t>
  </si>
  <si>
    <t>GLOBAL PHARMACY</t>
  </si>
  <si>
    <t>PAHASU, NEAR KALI NADI,</t>
  </si>
  <si>
    <t>203396 BULANDSHAHR</t>
  </si>
  <si>
    <t>CARE4SIGHT PHARMA PRIVATE LIMITED</t>
  </si>
  <si>
    <t>TAL-PADRA, PADRA-JAMBUSAR ROAD,</t>
  </si>
  <si>
    <t>BLOCK NO.271, VILLAGE-DABHASA,</t>
  </si>
  <si>
    <t>AL-DEEBAJ INTERNATIONAL TRADING CO</t>
  </si>
  <si>
    <t>FLOOR 5, OFFICE 25,</t>
  </si>
  <si>
    <t>AL FARWANIYA, AI ARBEED COMPLEX,</t>
  </si>
  <si>
    <t>85000 KUWAIT</t>
  </si>
  <si>
    <t>KUWAIT</t>
  </si>
  <si>
    <t>NEPTUNE SURGICARE</t>
  </si>
  <si>
    <t>BUS STAND,OPPKRISHNAGAR,AKBARNAGAR</t>
  </si>
  <si>
    <t>CIRCLE,NEW VADAJ,AHEMDABAD,GUJARAT-</t>
  </si>
  <si>
    <t>SF15,SRI RATNA COMPLX,MAIN</t>
  </si>
  <si>
    <t>380013 AHMEDABAD</t>
  </si>
  <si>
    <t>RKF MEDICAL INC.</t>
  </si>
  <si>
    <t>CANMORE, ALBERTA, CANADA, T1W 0A6</t>
  </si>
  <si>
    <t>101-75 DYRGAS GATE, OFFICE #4,</t>
  </si>
  <si>
    <t>ALBERTA  T1W 0A6</t>
  </si>
  <si>
    <t>CANADA</t>
  </si>
  <si>
    <t>BAHAMAS ORTHOPAEDIC &amp; SPINE CENTR</t>
  </si>
  <si>
    <t>93 COLLINS AVE</t>
  </si>
  <si>
    <t>N-7536 NASSAU</t>
  </si>
  <si>
    <t>BAHAMAS</t>
  </si>
  <si>
    <t>MANNA ALTDOR TRADING EST 2999</t>
  </si>
  <si>
    <t>K.S.A.ID 7034447131</t>
  </si>
  <si>
    <t>ALRIYADH 13225-7072</t>
  </si>
  <si>
    <t>13225-7072 ALRIYADH</t>
  </si>
  <si>
    <t>SAUDI ARABIA</t>
  </si>
  <si>
    <t>TMA PHARMA</t>
  </si>
  <si>
    <t>266 JAMAL ABDUL NASIR ST.</t>
  </si>
  <si>
    <t>266 TAIZZ</t>
  </si>
  <si>
    <t>YEMEN</t>
  </si>
  <si>
    <t>AZTEC RECYCLING HUB PRIVATE LIMITED</t>
  </si>
  <si>
    <t>INFOSTRETCH,B/H RAJPATH CLUB,S.G</t>
  </si>
  <si>
    <t>HIGHWAY,AHMEDABAD-380054</t>
  </si>
  <si>
    <t>A-506,ONE WORLD CAPITAL,OPP</t>
  </si>
  <si>
    <t>380054 AHMEDABAD</t>
  </si>
  <si>
    <t>INDOCO REMEDIES LTD</t>
  </si>
  <si>
    <t>&amp; 101 TO 111.1ST ARIHANT-COMPLEX,</t>
  </si>
  <si>
    <t>OPP.KOPER BUS STOP,</t>
  </si>
  <si>
    <t>BLDG NO68,GALA NO 1 TO 11,</t>
  </si>
  <si>
    <t>VILL.BHIWANDI-421302</t>
  </si>
  <si>
    <t>MORIA SURGICAL SPAIN S.L.U</t>
  </si>
  <si>
    <t>C / PABLO IGLESIAS 58,</t>
  </si>
  <si>
    <t>HOSPITALET DE LLOBREGAT</t>
  </si>
  <si>
    <t xml:space="preserve">BARCELONA  28003 SPAIN </t>
  </si>
  <si>
    <t>SPAIN</t>
  </si>
  <si>
    <t>LA MERE HEALTHCARE PRIVATE LIMITED</t>
  </si>
  <si>
    <t>24AAFCL9506J1ZC</t>
  </si>
  <si>
    <t>4TH FLOOR, D-401 TITANIUM SQUARE,SARKHEJ GANDHI</t>
  </si>
  <si>
    <t>NAGAR HIGHWAY, NEAR BMW SHOWROOM, THALTEJ</t>
  </si>
  <si>
    <t>SIR T GENERAL HOSPITAL</t>
  </si>
  <si>
    <t>SUPRERINTENDENT,SIR T.HOSPITAL,</t>
  </si>
  <si>
    <t>BHAVNAGAR</t>
  </si>
  <si>
    <t>OFFICE OF THE MEDICAL</t>
  </si>
  <si>
    <t>364001 BHAVNAGAR</t>
  </si>
  <si>
    <t>COFLENT LTDA</t>
  </si>
  <si>
    <t xml:space="preserve">AV LOS SHIRYS N3440 Y REPUBLICA DEL SALVADOR </t>
  </si>
  <si>
    <t>EDIFICIO TAPIA 6TO PISO QUITO-ECUADOR 80002</t>
  </si>
  <si>
    <t>ECUADOR</t>
  </si>
  <si>
    <t>SERVICIOS Y COMERCIALIZADORA DE</t>
  </si>
  <si>
    <t>INSUMOS MEDICOS</t>
  </si>
  <si>
    <t>N DE ID : 77.125.800-K</t>
  </si>
  <si>
    <t>CALLE LOS JESUITAS 544 PROVIDENCIA</t>
  </si>
  <si>
    <t xml:space="preserve">NAME </t>
  </si>
  <si>
    <t xml:space="preserve">ID </t>
  </si>
  <si>
    <t xml:space="preserve">VEHICLE NUMBER </t>
  </si>
  <si>
    <t xml:space="preserve">VEHICLE NUMBER  CHECK </t>
  </si>
  <si>
    <t>DISTANCE PIN TO PIN</t>
  </si>
  <si>
    <t xml:space="preserve">Port Laginr - FOB </t>
  </si>
  <si>
    <t>TRACKON COURIERS PVT. LTD.</t>
  </si>
  <si>
    <t>07AABCC8298E1ZH</t>
  </si>
  <si>
    <t>GJ06AV6320</t>
  </si>
  <si>
    <t>GSTIN NUMBER CHECK</t>
  </si>
  <si>
    <t>GJ06AV8425</t>
  </si>
  <si>
    <t>DELEVERY(FEDEX)</t>
  </si>
  <si>
    <t>06AAPCS9575E1ZR</t>
  </si>
  <si>
    <t>GJ06BT2475</t>
  </si>
  <si>
    <t>GJ06BT9350</t>
  </si>
  <si>
    <t xml:space="preserve">NEW NUMBER </t>
  </si>
  <si>
    <t>GJ06AT9080</t>
  </si>
  <si>
    <t xml:space="preserve">                 </t>
  </si>
  <si>
    <t>DHL</t>
  </si>
  <si>
    <t>24AABCD3611Q1ZO</t>
  </si>
  <si>
    <t>GJ19Y5477</t>
  </si>
  <si>
    <t>GJ06AV3320</t>
  </si>
  <si>
    <t xml:space="preserve">OLD NUMBER </t>
  </si>
  <si>
    <t>SHREE NANDAN COURIER</t>
  </si>
  <si>
    <t>24AATCS9879D1ZK</t>
  </si>
  <si>
    <t>GJ06BT7951</t>
  </si>
  <si>
    <t>GJ06BV8603</t>
  </si>
  <si>
    <t>NEW NUMBER 20.01.2026</t>
  </si>
  <si>
    <t>KHODAL ROADWAYS</t>
  </si>
  <si>
    <t>24AFGPG6601L1ZL</t>
  </si>
  <si>
    <t>GJ38TA4886</t>
  </si>
  <si>
    <t>BUEPV0405K</t>
  </si>
  <si>
    <t>valagautam941@gmail.com</t>
  </si>
  <si>
    <t>Vala@8080</t>
  </si>
  <si>
    <t>BLUEDART</t>
  </si>
  <si>
    <t>27AAACB0446L1ZS</t>
  </si>
  <si>
    <t>GJ06BV3075</t>
  </si>
  <si>
    <t>Change Dt  21.03.2025</t>
  </si>
  <si>
    <t>GJ06BT0251</t>
  </si>
  <si>
    <t>V.XPRESS ( V TRANS (INDIA) LIMITED)</t>
  </si>
  <si>
    <t>24AAACV1559Q1ZW</t>
  </si>
  <si>
    <t>GJ06AT2320</t>
  </si>
  <si>
    <t>ANITA LOGISTIC</t>
  </si>
  <si>
    <t>24AFTPT8599P1ZU</t>
  </si>
  <si>
    <t>MH04LY6657</t>
  </si>
  <si>
    <t>OK</t>
  </si>
  <si>
    <t>ATS CARGO PRIVATE LIMITED</t>
  </si>
  <si>
    <t>27AAJCA4788P1ZR</t>
  </si>
  <si>
    <t>MH04LY9781</t>
  </si>
  <si>
    <t>GJ06BY0542</t>
  </si>
  <si>
    <t>SUPER TRADE CORPORATION</t>
  </si>
  <si>
    <t>27AHBPK3841M1Z6</t>
  </si>
  <si>
    <t>MH04FD3783</t>
  </si>
  <si>
    <t>JITENDRA ROADLINES</t>
  </si>
  <si>
    <t>24ALSPP2458A2Z2</t>
  </si>
  <si>
    <t>GJ23AT4373</t>
  </si>
  <si>
    <t>BHAGWATI ROADWAYS</t>
  </si>
  <si>
    <t>24AIAPP9099A1Z8</t>
  </si>
  <si>
    <t>GJ05BV8105</t>
  </si>
  <si>
    <t>BR/25-26/5457</t>
  </si>
  <si>
    <t>AMBICA LOGISTICS</t>
  </si>
  <si>
    <t>24BEPPK6452L1Z0</t>
  </si>
  <si>
    <t xml:space="preserve">SAINATH LOGISTICS </t>
  </si>
  <si>
    <t>24ACMPT6064B1ZK</t>
  </si>
  <si>
    <t>Change Dt - 03.02.2026</t>
  </si>
  <si>
    <t>26ACMPT6064B1ZG</t>
  </si>
  <si>
    <t>MH47BL5381</t>
  </si>
  <si>
    <t>SR. POST MASTER FATEGANJ H O</t>
  </si>
  <si>
    <t>24AAAGS1316J1ZI</t>
  </si>
  <si>
    <t>VIDHI ROADLINES</t>
  </si>
  <si>
    <t>24AEVPT8414L2ZN</t>
  </si>
  <si>
    <t>GJ06AZ9535</t>
  </si>
  <si>
    <t>BHALERAO CARGO SERVICE</t>
  </si>
  <si>
    <t xml:space="preserve"> 24AFAPB5601B1ZJ </t>
  </si>
  <si>
    <t>GJ06AV3769</t>
  </si>
  <si>
    <t>REALFAST CARGO EXPRESS</t>
  </si>
  <si>
    <t>27BAFPN6286F1ZE</t>
  </si>
  <si>
    <t>GJ06VV1288</t>
  </si>
  <si>
    <t>ALL INDIA TRANSPORT CORPORATION</t>
  </si>
  <si>
    <t>24AAZFA1459J1Z1</t>
  </si>
  <si>
    <t>GJ27TT0042</t>
  </si>
  <si>
    <t>BONDS LOGISTICS PRIVATE LIMITED</t>
  </si>
  <si>
    <t>27AADCB8760C1ZR</t>
  </si>
  <si>
    <t>EXCEL LOGITECH PRIVATE LIMITED</t>
  </si>
  <si>
    <t>24AAHCE5282A1ZZ</t>
  </si>
  <si>
    <t>GJ01KT6984</t>
  </si>
  <si>
    <t xml:space="preserve">OM LOGISTICS SUPPLY CHAIN PVT  LTD </t>
  </si>
  <si>
    <t xml:space="preserve">88AAECO4660K1Z7 </t>
  </si>
  <si>
    <t>Meet Road Carriers</t>
  </si>
  <si>
    <t>24ALVPV6022B1Z0</t>
  </si>
  <si>
    <t>GJ07YZ5301</t>
  </si>
  <si>
    <t>RAVI ROADWAYS</t>
  </si>
  <si>
    <t>24ALRPB7538E2Z2</t>
  </si>
  <si>
    <t>AVINASH CARGO PRIVATE LIMITED</t>
  </si>
  <si>
    <t>24AAFCA7488L1Z6</t>
  </si>
  <si>
    <t>RIYA TRANSPORT</t>
  </si>
  <si>
    <t>27ADPPN0733R1ZU</t>
  </si>
  <si>
    <t>GJ16AV1862</t>
  </si>
  <si>
    <t>Shree Harsiddhi Transport</t>
  </si>
  <si>
    <t>24AMTPP6931G2ZL</t>
  </si>
  <si>
    <t>2025-2026/2660</t>
  </si>
  <si>
    <t>GJ07TU5264</t>
  </si>
  <si>
    <t>KASHISH ROADWAYS</t>
  </si>
  <si>
    <t>27EWXPM3512C1ZC</t>
  </si>
  <si>
    <t>MH48BM4351</t>
  </si>
  <si>
    <t>SHREE MARUTI INTEGRATED LOGISTICS LIMITED</t>
  </si>
  <si>
    <t>88AABCM9407D1ZS </t>
  </si>
  <si>
    <t>TMXXXXXX</t>
  </si>
  <si>
    <t>Shree Tirupati Courier Services Private Limited</t>
  </si>
  <si>
    <t>24AAYCS3361H1ZY</t>
  </si>
  <si>
    <t>UPS</t>
  </si>
  <si>
    <t>24AAACU4322N1ZC</t>
  </si>
  <si>
    <t>GJ06BX4353</t>
  </si>
  <si>
    <t xml:space="preserve">The Civil Surgeon-Cum Superintendent District Hospital Khandwa </t>
  </si>
  <si>
    <t>23BPLC00921E1DW</t>
  </si>
  <si>
    <t xml:space="preserve">TRACKON COURIER </t>
  </si>
  <si>
    <t>DELEVERY (FEDEX)</t>
  </si>
  <si>
    <t xml:space="preserve">DHL </t>
  </si>
  <si>
    <t>HANS TRANSPORT</t>
  </si>
  <si>
    <t>24ASKPG6891R1ZU</t>
  </si>
  <si>
    <t xml:space="preserve">EXGATEFACTORY </t>
  </si>
  <si>
    <t>PAWAN LOGISTICS</t>
  </si>
  <si>
    <t>24BJXPS6535B1ZU</t>
  </si>
  <si>
    <t>Yogini Transport</t>
  </si>
  <si>
    <t>24AACFY4389E1Z0</t>
  </si>
  <si>
    <t>GJ01JT3090</t>
  </si>
  <si>
    <t>Y1210/24-25</t>
  </si>
  <si>
    <t>Bright Road Carriers</t>
  </si>
  <si>
    <t>24ADJPJ8620M2Z9</t>
  </si>
  <si>
    <t>MH48CB1668</t>
  </si>
  <si>
    <t>12375/ 012504</t>
  </si>
  <si>
    <t>V TRANSIT</t>
  </si>
  <si>
    <t>24ACYPW0132D1ZK</t>
  </si>
  <si>
    <t>GJ01JT3850</t>
  </si>
  <si>
    <t>SAFEXPRESS PRIVATE LTD.</t>
  </si>
  <si>
    <t>88AAECS4363H1ZA</t>
  </si>
  <si>
    <t>GJ06BT7970</t>
  </si>
  <si>
    <t>100020131341</t>
  </si>
  <si>
    <t xml:space="preserve">SAI NATH LOGISTICS </t>
  </si>
  <si>
    <t>MH48BM1338</t>
  </si>
  <si>
    <t>BRD-6578</t>
  </si>
  <si>
    <t>GJ06BT5357</t>
  </si>
  <si>
    <t>2024-2025/2701</t>
  </si>
  <si>
    <t>H M Gandhi</t>
  </si>
  <si>
    <t>24ANEPG6998E1ZT</t>
  </si>
  <si>
    <t>GJ27TD8521</t>
  </si>
  <si>
    <t>HG359/2425</t>
  </si>
  <si>
    <t>GJ06BV4345</t>
  </si>
  <si>
    <t>L24306101123</t>
  </si>
  <si>
    <t>Siddharth Transport &amp; Logistics</t>
  </si>
  <si>
    <t>24BYBPC3094E1ZW</t>
  </si>
  <si>
    <t>FEDEX</t>
  </si>
  <si>
    <t>27AABCF6516A1Z3</t>
  </si>
  <si>
    <t>27ANZPA3019P1ZF</t>
  </si>
  <si>
    <t>PH CODE</t>
  </si>
  <si>
    <t>RATE</t>
  </si>
  <si>
    <t xml:space="preserve">Material </t>
  </si>
  <si>
    <t xml:space="preserve">PARTY NAME </t>
  </si>
  <si>
    <t>DIVISION</t>
  </si>
  <si>
    <t xml:space="preserve">PURCHASE ORDER </t>
  </si>
  <si>
    <t xml:space="preserve">DESCRIPTION </t>
  </si>
  <si>
    <t>OLD PO</t>
  </si>
  <si>
    <t xml:space="preserve">OLD RATE </t>
  </si>
  <si>
    <t>PH00000066</t>
  </si>
  <si>
    <t xml:space="preserve">USOL BSS 250ML (PLASTIC)                 </t>
  </si>
  <si>
    <t xml:space="preserve">UHC PHARMACEUTICALS LTD </t>
  </si>
  <si>
    <t>SS</t>
  </si>
  <si>
    <t>PH00000085</t>
  </si>
  <si>
    <t xml:space="preserve">USOL BSS 500ML (PLASTIC) </t>
  </si>
  <si>
    <t>PH00000065</t>
  </si>
  <si>
    <t xml:space="preserve"> </t>
  </si>
  <si>
    <t>USOL BSS 500ML (GLASS)</t>
  </si>
  <si>
    <t>PH00000019</t>
  </si>
  <si>
    <t xml:space="preserve">BLUE RHEXIS -  VIAl - UHC PHARMACEUTICALS LTD </t>
  </si>
  <si>
    <t>PH00000043</t>
  </si>
  <si>
    <t xml:space="preserve">CARBACARE-1*1  -   ( VIAL ) </t>
  </si>
  <si>
    <t>PH00000013</t>
  </si>
  <si>
    <t xml:space="preserve">FLUO STRIPS(1*100)                            </t>
  </si>
  <si>
    <t xml:space="preserve">AADPRI OPHTHALMIC COMPANY </t>
  </si>
  <si>
    <t>DC</t>
  </si>
  <si>
    <t>PH00000032</t>
  </si>
  <si>
    <t>FLUORESCEIN INJ.USP-10%(5ML )  - (VIAL)</t>
  </si>
  <si>
    <t>PH00000207</t>
  </si>
  <si>
    <t>D CHOL 1ML ( 01 x 05 )</t>
  </si>
  <si>
    <t>FLUORESCEIN INJ.USP-10%(5ML *  1 )</t>
  </si>
  <si>
    <t>PH00000040</t>
  </si>
  <si>
    <t xml:space="preserve">HILURON 1.0 % P.F SYRINGES 1 ML </t>
  </si>
  <si>
    <t>PH00000106</t>
  </si>
  <si>
    <t>HILURON 3.0% P.F. SYRINGES 1.0ML</t>
  </si>
  <si>
    <t>PH00000212</t>
  </si>
  <si>
    <t>D-VISCO P.F SYRINGE 2 ML</t>
  </si>
  <si>
    <t>PH00000200</t>
  </si>
  <si>
    <t>D - BLUE1ML(01 X 05 )</t>
  </si>
  <si>
    <t>PH00000267</t>
  </si>
  <si>
    <t>D-HYAL 1.8 % P.F SYRINGE 1ML</t>
  </si>
  <si>
    <t>PH00000259</t>
  </si>
  <si>
    <t>D-HYAL 1.4 % P.F SYRINGE 1ML</t>
  </si>
  <si>
    <t>PH00000310</t>
  </si>
  <si>
    <t xml:space="preserve">VISCOLON PFS 2ML ( PP )  - PLASTIC </t>
  </si>
  <si>
    <t xml:space="preserve">PH00000076               </t>
  </si>
  <si>
    <t xml:space="preserve">HYPROSOL 5ML    </t>
  </si>
  <si>
    <t xml:space="preserve">SUNWAYS(INDIA)PVT LTD </t>
  </si>
  <si>
    <t xml:space="preserve">PH00000064           </t>
  </si>
  <si>
    <t xml:space="preserve">EQUASOL BSS 500ML (PLASTIC)  </t>
  </si>
  <si>
    <t>SUNWAYS(INDIA)PVT LTD</t>
  </si>
  <si>
    <t>PH00000055</t>
  </si>
  <si>
    <t xml:space="preserve">TRY BLUE 1ML VIAL                          </t>
  </si>
  <si>
    <t>PH00000064</t>
  </si>
  <si>
    <t xml:space="preserve">EQUASOL BSS 500ML (PLASTIC)         </t>
  </si>
  <si>
    <t>PH00000058</t>
  </si>
  <si>
    <t>HYPROSOL P.F. SYRINGES  2ML</t>
  </si>
  <si>
    <t>PH00000073</t>
  </si>
  <si>
    <t>VISCOSAFE 14 (SODIUM HYALURONATE)</t>
  </si>
  <si>
    <t>INTAS PHARMACEUTICALS LTD</t>
  </si>
  <si>
    <t>PH00000197</t>
  </si>
  <si>
    <t xml:space="preserve">VISCOSAFE CD PFS 1 ML </t>
  </si>
  <si>
    <t>PH00000062</t>
  </si>
  <si>
    <t>INTAVISC 5ML VIAL</t>
  </si>
  <si>
    <t>23.00 Change rate</t>
  </si>
  <si>
    <t>PH00000228</t>
  </si>
  <si>
    <t>INTASOL PP BALANCED SALT SOLUTION 500ML  ( PLASTIC )</t>
  </si>
  <si>
    <t xml:space="preserve">PH00000088                 </t>
  </si>
  <si>
    <t xml:space="preserve">GLUTASOL KIT OF BSS 20mL (PART-II)  </t>
  </si>
  <si>
    <t xml:space="preserve">PH00000087            </t>
  </si>
  <si>
    <t xml:space="preserve">GLUTASOL KIT OF BSS 480mL (PART-I)  </t>
  </si>
  <si>
    <t>PH00000233</t>
  </si>
  <si>
    <t>INTAVISC PF 3ML</t>
  </si>
  <si>
    <t>PH00000195</t>
  </si>
  <si>
    <t>HYTASONE 8MGPFS -6 ML</t>
  </si>
  <si>
    <t xml:space="preserve">INTAS PHARMACEUTICALS LTD </t>
  </si>
  <si>
    <t>PH00000194</t>
  </si>
  <si>
    <t xml:space="preserve">HYLOJECT 1.4 PFS 1ML                           </t>
  </si>
  <si>
    <t xml:space="preserve">ENTOD PHARMACETICALS LTD </t>
  </si>
  <si>
    <t>PH00000189</t>
  </si>
  <si>
    <t>4QUIN PFS 0.5ML</t>
  </si>
  <si>
    <t>PH00000264</t>
  </si>
  <si>
    <t>13.95 (MRP : 44.85 )</t>
  </si>
  <si>
    <t>CARBATOD -1ML(1X10)</t>
  </si>
  <si>
    <t>PH00000263</t>
  </si>
  <si>
    <t>BLUE TOD -1ML(1X5)</t>
  </si>
  <si>
    <t>PH00000292</t>
  </si>
  <si>
    <t xml:space="preserve">AQVISC PFS 6 M                                      </t>
  </si>
  <si>
    <t>YTS PHARMACEUTICALS</t>
  </si>
  <si>
    <t>PH00000083</t>
  </si>
  <si>
    <t xml:space="preserve">I-SENZ MEDICAL </t>
  </si>
  <si>
    <t>PH00000084</t>
  </si>
  <si>
    <t>Contasil 1000 - 10mL VIAL</t>
  </si>
  <si>
    <t>PH00000301</t>
  </si>
  <si>
    <t>Contasil 1300 - 10mL VIAL</t>
  </si>
  <si>
    <t>PH00000298</t>
  </si>
  <si>
    <t xml:space="preserve">OSTEO VISC PFS 6M     </t>
  </si>
  <si>
    <t xml:space="preserve">BIO - ORIGIN PHARMA PRIVARE LIMITED </t>
  </si>
  <si>
    <t>PH00000299</t>
  </si>
  <si>
    <t xml:space="preserve">ARTROVISC PFS 6M     </t>
  </si>
  <si>
    <t xml:space="preserve">KEMGEN BIOLOGICS PRIVATE LIMITED </t>
  </si>
  <si>
    <t>PH00000198</t>
  </si>
  <si>
    <t>ZYONATE 1.4% 1ML</t>
  </si>
  <si>
    <t xml:space="preserve">ZYDUS LIFESCIENCES LIMITD </t>
  </si>
  <si>
    <t>( CADILA HEALTH CARE LTD )</t>
  </si>
  <si>
    <t>PH00000332</t>
  </si>
  <si>
    <t>New Zyonate Plus PFS 1 ML</t>
  </si>
  <si>
    <t>PH00000203</t>
  </si>
  <si>
    <t xml:space="preserve">SURGI BLUE 1ML                                 </t>
  </si>
  <si>
    <t xml:space="preserve">SURGI EDGE INDIA </t>
  </si>
  <si>
    <t>PH00000334   </t>
  </si>
  <si>
    <t>SURGI-VISC 5ML VIAL</t>
  </si>
  <si>
    <t xml:space="preserve">CARBACARE-1*1  -    ( VIAL ) </t>
  </si>
  <si>
    <t xml:space="preserve">LA MERE HEALTHCARE PRIVATE LIMITED </t>
  </si>
  <si>
    <t>BLUE RHEXIS -  1 ML</t>
  </si>
  <si>
    <t>PH00000266</t>
  </si>
  <si>
    <t>MOXAKEY 1ML VIAL</t>
  </si>
  <si>
    <t xml:space="preserve">PH00000028 </t>
  </si>
  <si>
    <t>CONTASOL(BSS)-PP(1*500ML)- PLASTIC</t>
  </si>
  <si>
    <t xml:space="preserve">ZARIF LENS </t>
  </si>
  <si>
    <t>ED</t>
  </si>
  <si>
    <t>VISCOLON PFS 2ML ( GLASS ) - EXPORT</t>
  </si>
  <si>
    <t>PH00000261</t>
  </si>
  <si>
    <t xml:space="preserve">CONTASOL PLUS BSS PLUS CONTASOL PART I – 480 ML  </t>
  </si>
  <si>
    <t>PH00000262</t>
  </si>
  <si>
    <t xml:space="preserve">CONTASOL PLUS KIT OF BSS 20mL (PART-II) </t>
  </si>
  <si>
    <t>PH00000018</t>
  </si>
  <si>
    <t xml:space="preserve">CARTON </t>
  </si>
  <si>
    <t>TEAR STRIPS(1*100)</t>
  </si>
  <si>
    <t>PH00000016</t>
  </si>
  <si>
    <t>LISSAMINE GREEN(1*100)</t>
  </si>
  <si>
    <t>PH00000017</t>
  </si>
  <si>
    <t>ROSEBENGAL STRIPS 1#100</t>
  </si>
  <si>
    <t>PH00000015</t>
  </si>
  <si>
    <t>HIGLO STRIPS(1*100)</t>
  </si>
  <si>
    <t>HILURON 1.8% P.F. SYRINGES 1 ML</t>
  </si>
  <si>
    <t>PH00000037</t>
  </si>
  <si>
    <t>PH00000227</t>
  </si>
  <si>
    <t xml:space="preserve">HILURON 1.4% P.F. SYRINGES 1.0ML  </t>
  </si>
  <si>
    <t>PH00000119</t>
  </si>
  <si>
    <t>HYLUCOAT PREFILLED SYRINGE-1.0 ML</t>
  </si>
  <si>
    <t>PH00000135</t>
  </si>
  <si>
    <t>SIDA-BLUE PFS 1mL</t>
  </si>
  <si>
    <t>PH00000068</t>
  </si>
  <si>
    <t xml:space="preserve">BLUERHEXIS 1ML (01 X 05 )   - CARTON </t>
  </si>
  <si>
    <t>PH00000012</t>
  </si>
  <si>
    <t xml:space="preserve">BLUE RHEXIS PFS  SYRINGES 1.0 ML </t>
  </si>
  <si>
    <t>CONTASIL 1300 - 10 (VIAL)</t>
  </si>
  <si>
    <t>PH00000239</t>
  </si>
  <si>
    <t>ORTHOLON INJECTION 0.8% PFS 6.0 ML</t>
  </si>
  <si>
    <t>PH00000253</t>
  </si>
  <si>
    <t>ORTHOLON INJECTION 2.3% PFS 3.0 ML</t>
  </si>
  <si>
    <t>PH00000250</t>
  </si>
  <si>
    <t>ORTHOLON INJECTION 2.0% PFS 2.0 ML</t>
  </si>
  <si>
    <t>PH00000246</t>
  </si>
  <si>
    <t>ORTHOLON INJECTION 1.6% PFS 2.0 ML</t>
  </si>
  <si>
    <t>PH00000052</t>
  </si>
  <si>
    <t xml:space="preserve">EYE GEL 2 % PREFILLED SYRINGE 2.0 ML </t>
  </si>
  <si>
    <t>PH00000120</t>
  </si>
  <si>
    <t xml:space="preserve">PH00000020 </t>
  </si>
  <si>
    <t>VISCOLON 5ML VIAL</t>
  </si>
  <si>
    <t xml:space="preserve">SIR T GENRAL HOSPITAL </t>
  </si>
  <si>
    <t>SPM1000509</t>
  </si>
  <si>
    <t>NEEDLE  21</t>
  </si>
  <si>
    <t>COD</t>
  </si>
  <si>
    <t xml:space="preserve">THE SHOP THRU &amp; INNOVACIONES </t>
  </si>
  <si>
    <t xml:space="preserve">GRUPO INFAL </t>
  </si>
  <si>
    <t xml:space="preserve">LENSTECH INNOVATIONS PVT  LTD </t>
  </si>
  <si>
    <t>BLUE RHEXIS</t>
  </si>
  <si>
    <t>DS</t>
  </si>
  <si>
    <t>USD 12.00</t>
  </si>
  <si>
    <t>USD 6.00</t>
  </si>
  <si>
    <t>PH00000130</t>
  </si>
  <si>
    <t>GONIOVISC 2.5 % 15 ML</t>
  </si>
  <si>
    <t>I ALPHAMED</t>
  </si>
  <si>
    <t xml:space="preserve">PHRONEMA SRL </t>
  </si>
  <si>
    <t>SPECTRUM INTERNATIONAL</t>
  </si>
  <si>
    <t xml:space="preserve">FOR EXPORT </t>
  </si>
  <si>
    <t>PH00000313</t>
  </si>
  <si>
    <t>MYDRICARE XL PFS 1ML</t>
  </si>
  <si>
    <t>VISCOLON PFS 2ML</t>
  </si>
  <si>
    <t>LENTECH S.A</t>
  </si>
  <si>
    <t xml:space="preserve">DR. RAHUL RAGHAV </t>
  </si>
  <si>
    <t>EYEPHARMA(PTY)LTD</t>
  </si>
  <si>
    <t>PH00000172</t>
  </si>
  <si>
    <t xml:space="preserve">OSMIUM 5 EYE DROPS 10 ML </t>
  </si>
  <si>
    <t>PH00000140</t>
  </si>
  <si>
    <t xml:space="preserve">SIDAPHARM P.C. - ACE MEDICAL LTD </t>
  </si>
  <si>
    <t>MINH NHI MEDICAL</t>
  </si>
  <si>
    <t>PH00000020</t>
  </si>
  <si>
    <t xml:space="preserve">OPHTALMO SURGICAL </t>
  </si>
  <si>
    <t>SEHA PHA</t>
  </si>
  <si>
    <t>PH00000254</t>
  </si>
  <si>
    <t>HYALVISC 8MG PFS 6</t>
  </si>
  <si>
    <t xml:space="preserve">BIO - ELITE LIFE SCIENCES </t>
  </si>
  <si>
    <t>PH00000288</t>
  </si>
  <si>
    <t>MAYOVISC 8 MG PFS - 6 ML</t>
  </si>
  <si>
    <t xml:space="preserve">GLOBAL HEALTH </t>
  </si>
  <si>
    <t xml:space="preserve">GOV NEW CIVIL HOSPITAL </t>
  </si>
  <si>
    <t xml:space="preserve">GOV GENERAL HOSPITAL JAMKHAMBHALIA  </t>
  </si>
  <si>
    <t xml:space="preserve">CONTASIL 1000 - 10ML VIAL </t>
  </si>
  <si>
    <t>CARE4SIGHT TO CGSSPL</t>
  </si>
  <si>
    <t xml:space="preserve">2.5 % + 2.5 % </t>
  </si>
  <si>
    <t>PH00000014</t>
  </si>
  <si>
    <t xml:space="preserve">FLUO STRIPS(1*300)    </t>
  </si>
  <si>
    <t>PH00000021</t>
  </si>
  <si>
    <t xml:space="preserve">VISCOLON P.F.SYRINGE 2ML - ( Glass ) </t>
  </si>
  <si>
    <t>PH00000324</t>
  </si>
  <si>
    <t>HILURON XL EYE DROPS 10ML</t>
  </si>
  <si>
    <t>PH00000029</t>
  </si>
  <si>
    <t xml:space="preserve">CONTASOL(BSS)-GLASS(1*500ML)        </t>
  </si>
  <si>
    <t>4000012268 - 09032026</t>
  </si>
  <si>
    <t>PH00000129</t>
  </si>
  <si>
    <r>
      <rPr>
        <b/>
        <sz val="48"/>
        <color theme="1"/>
        <rFont val="Sitka Small Semibold"/>
        <charset val="134"/>
      </rPr>
      <t xml:space="preserve">BLUE RHEXIS 1 ML ( 01 X 05 ) - </t>
    </r>
    <r>
      <rPr>
        <b/>
        <sz val="48"/>
        <color rgb="FFFF0000"/>
        <rFont val="Sitka Small Semibold"/>
        <charset val="134"/>
      </rPr>
      <t>CARTON</t>
    </r>
  </si>
  <si>
    <t xml:space="preserve">As Par Carton Transfer  Jay Vial nay moklavanu </t>
  </si>
  <si>
    <t>PH00000001</t>
  </si>
  <si>
    <t>MOCARE PFS-1ML</t>
  </si>
  <si>
    <t>PH00000289</t>
  </si>
  <si>
    <t>PH00000104</t>
  </si>
  <si>
    <t>VISCOLON P.F.SYRINGE 3ML (PP)</t>
  </si>
  <si>
    <t>PH00000230</t>
  </si>
  <si>
    <t>MOCARE GEL EYE DROPS 5 ML</t>
  </si>
  <si>
    <t>PH00000279</t>
  </si>
  <si>
    <t>New Item</t>
  </si>
  <si>
    <t>SPECLEAN 40 ML</t>
  </si>
  <si>
    <t>PH00000025</t>
  </si>
  <si>
    <t>CARBACARE1ML(01X10)</t>
  </si>
  <si>
    <t>PH00000042</t>
  </si>
  <si>
    <t xml:space="preserve">CONTASOL(BSS)-GLASS(1*250ML)   </t>
  </si>
  <si>
    <t>PH00000213</t>
  </si>
  <si>
    <t>D-VISCO P.F SYRINGE 3 ML</t>
  </si>
  <si>
    <t>PH00000219</t>
  </si>
  <si>
    <t>TRUVISC PFS 3ML</t>
  </si>
  <si>
    <t>NEW ZYONATE PLUS 1ML PFS</t>
  </si>
  <si>
    <t>PH00000331</t>
  </si>
  <si>
    <t>TRYPAN BLUE SOLUTION 0.15% w/v (1X5)</t>
  </si>
  <si>
    <t>PH00000047</t>
  </si>
  <si>
    <t>CONTASOL-H(BSS)-PP (1*500ML)</t>
  </si>
  <si>
    <t xml:space="preserve">RUSSIA  </t>
  </si>
  <si>
    <t>PH00000032 </t>
  </si>
  <si>
    <t>FLUORESCEIN INJ.USP-10%(5ML*1)</t>
  </si>
  <si>
    <t>SCR0000009</t>
  </si>
  <si>
    <t>SCRAPE ITEM</t>
  </si>
  <si>
    <t>SCRAP POLYCARBONATE</t>
  </si>
  <si>
    <t>SCR0000004</t>
  </si>
  <si>
    <t>SCRAP CARTON BOXES</t>
  </si>
  <si>
    <t>PH00000158</t>
  </si>
  <si>
    <t>CONTACAINE SOLUTION -5 ML</t>
  </si>
  <si>
    <t>PH00000168</t>
  </si>
  <si>
    <t>OSTEO ONE PFS 6ML</t>
  </si>
  <si>
    <t>PH00000265</t>
  </si>
  <si>
    <t>UVISC P.F SYRINGE 3ML</t>
  </si>
  <si>
    <t>PH00000036</t>
  </si>
  <si>
    <t>ANGIODYE - 25 % 2 ML (1X12)</t>
  </si>
  <si>
    <t>PH00000210</t>
  </si>
  <si>
    <t>SURGI CHOL 1ML</t>
  </si>
  <si>
    <t>PH00000229</t>
  </si>
  <si>
    <t>CAREPRED EYE DROPS 10 ML</t>
  </si>
  <si>
    <t>PH00000137</t>
  </si>
  <si>
    <t>MOCARE DX EYE DROPS 5ML</t>
  </si>
  <si>
    <t>PH00000316</t>
  </si>
  <si>
    <t>ANGIODYE - 10% (12 x 5mL Vial)</t>
  </si>
  <si>
    <t>PH00000231</t>
  </si>
  <si>
    <t>FLUORETS 1 MG 1 #100</t>
  </si>
  <si>
    <t>PH00000325</t>
  </si>
  <si>
    <t>TRUVISC 5ML VIAL</t>
  </si>
  <si>
    <t>PH00000149</t>
  </si>
  <si>
    <t>VISTAGLO (1X300)</t>
  </si>
  <si>
    <t>PH00000148</t>
  </si>
  <si>
    <t>VISTAGLO (1X100)</t>
  </si>
  <si>
    <t>PH00000205</t>
  </si>
  <si>
    <t>VISTA BLUE RHEXIS 1ML (1X5)</t>
  </si>
  <si>
    <t>PH00000133</t>
  </si>
  <si>
    <t>VISTAVISC HA 1.4% 1ML</t>
  </si>
  <si>
    <t>PH00000196</t>
  </si>
  <si>
    <t>SYNOONE 6ML</t>
  </si>
  <si>
    <t xml:space="preserve">12%  IGST </t>
  </si>
  <si>
    <t>PH00000156</t>
  </si>
  <si>
    <t>SIDA-BLUE VIAL</t>
  </si>
  <si>
    <t>PH00000284</t>
  </si>
  <si>
    <t>EYE GEL 2 % PFS 2.0 ML (BUBBLE FREE)</t>
  </si>
  <si>
    <t>PH00000322</t>
  </si>
  <si>
    <t>TACARIX (10 X 1ML VIAL)</t>
  </si>
  <si>
    <t>PH00000054 </t>
  </si>
  <si>
    <t>VISCOLON PFS 3ML ( GLASS )</t>
  </si>
  <si>
    <t>PH00000218</t>
  </si>
  <si>
    <t>TECNO VISC  2 ML</t>
  </si>
  <si>
    <t>PH00000328</t>
  </si>
  <si>
    <t xml:space="preserve">CONTACARE RGP SPARKLE 100 ML </t>
  </si>
  <si>
    <t>PH00000171</t>
  </si>
  <si>
    <t>TIMOLIA EYE DROPS 5ML</t>
  </si>
  <si>
    <t>PH00000327</t>
  </si>
  <si>
    <t>HOSPIFLUO STRIP (1x100)</t>
  </si>
  <si>
    <t>PH00000255</t>
  </si>
  <si>
    <t>BIOTAS ONE 8MG PFS 6ML</t>
  </si>
  <si>
    <t>PH00000296</t>
  </si>
  <si>
    <t>OLOPIA EYE DROPS 5 ML</t>
  </si>
  <si>
    <t>PH00000151</t>
  </si>
  <si>
    <t>I-GLO STRIPS (1*100)</t>
  </si>
  <si>
    <t>PH00000329</t>
  </si>
  <si>
    <t>SPECTRUM SCHIRMERS STRIPS(1x100)</t>
  </si>
  <si>
    <t>PH00000291</t>
  </si>
  <si>
    <t xml:space="preserve">CONTASIL 5000 P.F SYRINGES 10 ML </t>
  </si>
  <si>
    <t>PH00000072</t>
  </si>
  <si>
    <t>UVISC 5ML VIALS</t>
  </si>
  <si>
    <t>PH00000293</t>
  </si>
  <si>
    <t xml:space="preserve">VISCOLON 2.4 % P.F SYRINGES 2 ML ( GLASS ) </t>
  </si>
  <si>
    <t>PH00000318</t>
  </si>
  <si>
    <t>EYE GEL 5mL Vial</t>
  </si>
  <si>
    <t>PH00000317</t>
  </si>
  <si>
    <t xml:space="preserve">PHENOCAINE PLUS PFS 0.5 ML </t>
  </si>
  <si>
    <t>PH00000319</t>
  </si>
  <si>
    <t xml:space="preserve">2.25 ML GLASS BARREL WITH BARREL TIPS </t>
  </si>
  <si>
    <t>PH00000320</t>
  </si>
  <si>
    <t xml:space="preserve">PLUNGER TIPS FOR 2 OR 3 ML </t>
  </si>
  <si>
    <t>PH00000321</t>
  </si>
  <si>
    <t>PLUNGER ROD FOR 2 ML ( WHITE )</t>
  </si>
  <si>
    <t>PH00000115</t>
  </si>
  <si>
    <t>MOCARE LP EYE DROPS 5 ML</t>
  </si>
  <si>
    <t>PH00000009</t>
  </si>
  <si>
    <t xml:space="preserve">MOCARE - DX -5 ML </t>
  </si>
  <si>
    <t>PH00000312</t>
  </si>
  <si>
    <t>MOCARE - V  1 ML ( 01 X 05 )</t>
  </si>
  <si>
    <t>PH00000314</t>
  </si>
  <si>
    <t>PH00000315</t>
  </si>
  <si>
    <t>ANGIODYE - 25% (12 x 2mL 2 x 2mL Vial)</t>
  </si>
  <si>
    <t>PH00000024</t>
  </si>
  <si>
    <t xml:space="preserve">FLUORESCEIN INJ.USP-10%(5ML*12)  </t>
  </si>
  <si>
    <t>PH00000232</t>
  </si>
  <si>
    <t xml:space="preserve">ULTRAWET EYE DROP 10 ML </t>
  </si>
  <si>
    <t>PH00000031</t>
  </si>
  <si>
    <t xml:space="preserve">FLUORESCEIN INJ.USP-25%(2ML*12)      </t>
  </si>
  <si>
    <t>PH00000146</t>
  </si>
  <si>
    <t>CARELUB DS-10ML EYEDROP</t>
  </si>
  <si>
    <t>PH00000145</t>
  </si>
  <si>
    <t xml:space="preserve">CARELUB 10 ML EYE DROPS </t>
  </si>
  <si>
    <t>PH00000164</t>
  </si>
  <si>
    <t>MOCARE - V  1 ML ( 01 X 05 ) - (CARTOON)</t>
  </si>
  <si>
    <t>PH00000039</t>
  </si>
  <si>
    <t xml:space="preserve">VISCOLON P.F.SYRINGE 2ML(P) - PLASTIC </t>
  </si>
  <si>
    <t xml:space="preserve">PH00000261       </t>
  </si>
  <si>
    <t>CONTASOL BSS PLUS 480ML</t>
  </si>
  <si>
    <t>PH00000034</t>
  </si>
  <si>
    <t xml:space="preserve">CONTASOL BSS 250 (PLASTIC)               </t>
  </si>
  <si>
    <t>PH00000054</t>
  </si>
  <si>
    <t xml:space="preserve">VISCOLON PFS 3 ML  - GLASS </t>
  </si>
  <si>
    <t>PH00000002</t>
  </si>
  <si>
    <t>CONTASOL BALANCED SALT SOLUTION 100 ML ( PLASTIC)</t>
  </si>
  <si>
    <t xml:space="preserve">CARE4SIGHT PHARMA PRIVATE LIMITED  - PH CODE &amp; PO DETAILS </t>
  </si>
  <si>
    <t>4500000043  - PO NUMBER    - 21.11.2024</t>
  </si>
  <si>
    <t>4000008888 - PO NUMBER - 18.06.2025</t>
  </si>
  <si>
    <t>YDSS</t>
  </si>
  <si>
    <t>CPPL DOMESTIC STANDA</t>
  </si>
  <si>
    <t xml:space="preserve">CARE GROUP </t>
  </si>
  <si>
    <t>4500000048 - PO NUMBER - 02.01.2025</t>
  </si>
  <si>
    <t>4000008587 - PO NUMBER - 29.05.2025</t>
  </si>
  <si>
    <t>CPPL</t>
  </si>
  <si>
    <t xml:space="preserve">CARE4SIGHT  STD SALES </t>
  </si>
  <si>
    <t>4500000051 - PO NUMBER  -  31.01.2025</t>
  </si>
  <si>
    <t>4000008759 - PO NUMBER  - 10.06.2025</t>
  </si>
  <si>
    <t xml:space="preserve">DOMESTIC STD SALES </t>
  </si>
  <si>
    <t>4500000055 - PO NUMBER -  08.05.2025</t>
  </si>
  <si>
    <t>4000008837 - PO NUMBER - 14.06.2025</t>
  </si>
  <si>
    <t xml:space="preserve">SURGICAL SOLUTION </t>
  </si>
  <si>
    <t>4000008588 - PO NUMBER - 29.05.2025</t>
  </si>
  <si>
    <t>4000009071 - PO NUMBER -  27.06.2025</t>
  </si>
  <si>
    <t>GJ51</t>
  </si>
  <si>
    <t xml:space="preserve">CARE4SIGHT  DABHASA  </t>
  </si>
  <si>
    <t>Item</t>
  </si>
  <si>
    <t xml:space="preserve">Code </t>
  </si>
  <si>
    <t xml:space="preserve">Rate </t>
  </si>
  <si>
    <t xml:space="preserve">PO NUMBER </t>
  </si>
  <si>
    <t xml:space="preserve">CGST / SGST </t>
  </si>
  <si>
    <t xml:space="preserve">HSN - CODE </t>
  </si>
  <si>
    <t xml:space="preserve">Surgical Solutions </t>
  </si>
  <si>
    <r>
      <rPr>
        <b/>
        <sz val="36"/>
        <color theme="1"/>
        <rFont val="Consolas"/>
        <charset val="134"/>
      </rPr>
      <t xml:space="preserve">CONTASOL(BSS)-PP (1*500ML)  - </t>
    </r>
    <r>
      <rPr>
        <b/>
        <sz val="48"/>
        <color rgb="FFFF0000"/>
        <rFont val="Consolas"/>
        <charset val="134"/>
      </rPr>
      <t xml:space="preserve">PLASTIC </t>
    </r>
  </si>
  <si>
    <t xml:space="preserve"> VISCOLON P.F.SYRINGE 2ML</t>
  </si>
  <si>
    <t>4500000043 / 4500000048</t>
  </si>
  <si>
    <t xml:space="preserve">DS - Diagostic Strip </t>
  </si>
  <si>
    <t>2.5 % + 2.5 %</t>
  </si>
  <si>
    <t>SUNWAYS (INDIA) PVT.LTD - 21.38 (Rate)</t>
  </si>
  <si>
    <r>
      <rPr>
        <b/>
        <sz val="36"/>
        <color theme="1"/>
        <rFont val="Consolas"/>
        <charset val="134"/>
      </rPr>
      <t>CONTASOL(BSS)-</t>
    </r>
    <r>
      <rPr>
        <b/>
        <sz val="36"/>
        <color rgb="FFFF0000"/>
        <rFont val="Consolas"/>
        <charset val="134"/>
      </rPr>
      <t>GLASS</t>
    </r>
    <r>
      <rPr>
        <b/>
        <sz val="36"/>
        <color theme="1"/>
        <rFont val="Consolas"/>
        <charset val="134"/>
      </rPr>
      <t xml:space="preserve">(1*500ML)        </t>
    </r>
  </si>
  <si>
    <t>DD</t>
  </si>
  <si>
    <t xml:space="preserve">PH00000228      </t>
  </si>
  <si>
    <t>TP</t>
  </si>
  <si>
    <t xml:space="preserve">SUNWAYS ( INDIA ) PVT LTD </t>
  </si>
  <si>
    <t xml:space="preserve">Eye Drops </t>
  </si>
  <si>
    <t xml:space="preserve">Diagnostic Strip </t>
  </si>
  <si>
    <t xml:space="preserve">2.5 %  + 2.5  % </t>
  </si>
  <si>
    <r>
      <rPr>
        <b/>
        <sz val="36"/>
        <color theme="1"/>
        <rFont val="Consolas"/>
        <charset val="134"/>
      </rPr>
      <t xml:space="preserve">VISCOLON PFS 3 ML  - </t>
    </r>
    <r>
      <rPr>
        <b/>
        <sz val="48"/>
        <color rgb="FFFF0000"/>
        <rFont val="Consolas"/>
        <charset val="134"/>
      </rPr>
      <t xml:space="preserve">GLASS </t>
    </r>
  </si>
  <si>
    <r>
      <rPr>
        <b/>
        <sz val="36"/>
        <color theme="1"/>
        <rFont val="Consolas"/>
        <charset val="134"/>
      </rPr>
      <t>CONTASOL(BSS)-</t>
    </r>
    <r>
      <rPr>
        <b/>
        <sz val="48"/>
        <color rgb="FFFF0000"/>
        <rFont val="Consolas"/>
        <charset val="134"/>
      </rPr>
      <t>GLASS</t>
    </r>
    <r>
      <rPr>
        <b/>
        <sz val="36"/>
        <color theme="1"/>
        <rFont val="Consolas"/>
        <charset val="134"/>
      </rPr>
      <t xml:space="preserve">(1*250ML)   </t>
    </r>
  </si>
  <si>
    <t>Needle 21</t>
  </si>
  <si>
    <t>Common</t>
  </si>
  <si>
    <r>
      <rPr>
        <b/>
        <sz val="36"/>
        <color theme="1"/>
        <rFont val="Consolas"/>
        <charset val="134"/>
      </rPr>
      <t xml:space="preserve">FLUORESCEIN INJ.USP-10%(5ML )  - </t>
    </r>
    <r>
      <rPr>
        <b/>
        <sz val="48"/>
        <color rgb="FFFF0000"/>
        <rFont val="Consolas"/>
        <charset val="134"/>
      </rPr>
      <t>(VIAL)</t>
    </r>
  </si>
  <si>
    <t xml:space="preserve">AADPARI </t>
  </si>
  <si>
    <t>PH00000088</t>
  </si>
  <si>
    <t>PH00000087</t>
  </si>
  <si>
    <t xml:space="preserve">CONTASOL PLUS BALANCED SALT SOLUTION PLUS CONTASOL PART I – 480 ML  </t>
  </si>
  <si>
    <r>
      <rPr>
        <b/>
        <sz val="36"/>
        <color theme="1"/>
        <rFont val="Consolas"/>
        <charset val="134"/>
      </rPr>
      <t xml:space="preserve">BLUE RHEXIS 1 ML ( 01 X 05 </t>
    </r>
    <r>
      <rPr>
        <sz val="36"/>
        <color theme="1"/>
        <rFont val="Consolas"/>
        <charset val="134"/>
      </rPr>
      <t xml:space="preserve">) - </t>
    </r>
    <r>
      <rPr>
        <b/>
        <sz val="48"/>
        <color rgb="FFFF0000"/>
        <rFont val="Consolas"/>
        <charset val="134"/>
      </rPr>
      <t>CARTON</t>
    </r>
  </si>
  <si>
    <t>NEPACON 5ML EYE DROPS</t>
  </si>
  <si>
    <t>PH00000141</t>
  </si>
  <si>
    <t xml:space="preserve">AADPRI &amp; THE SHOP THRU &amp; INNOVACIONES </t>
  </si>
  <si>
    <r>
      <rPr>
        <b/>
        <sz val="36"/>
        <color theme="1"/>
        <rFont val="Consolas"/>
        <charset val="134"/>
      </rPr>
      <t xml:space="preserve">BLUE RHEXIS -  VIAl - </t>
    </r>
    <r>
      <rPr>
        <b/>
        <sz val="36"/>
        <color rgb="FFFF0000"/>
        <rFont val="Consolas"/>
        <charset val="134"/>
      </rPr>
      <t xml:space="preserve">UHC PHARMACEUTICALS LTD </t>
    </r>
  </si>
  <si>
    <t>VIAL</t>
  </si>
  <si>
    <r>
      <rPr>
        <b/>
        <sz val="36"/>
        <color theme="1"/>
        <rFont val="Consolas"/>
        <charset val="134"/>
      </rPr>
      <t xml:space="preserve">MOCARE - V  1 ML ( 01 X 05 ) - </t>
    </r>
    <r>
      <rPr>
        <b/>
        <sz val="36"/>
        <color rgb="FFFF0000"/>
        <rFont val="Consolas"/>
        <charset val="134"/>
      </rPr>
      <t>(CARTOON)</t>
    </r>
  </si>
  <si>
    <t>DEXA CARE  PVT LTD</t>
  </si>
  <si>
    <t xml:space="preserve">ZARIF LENS -LENSTECH INNOVA -DEXA CARE - GRUPO INFAL - UHC PHARMA- SURGI EDGE </t>
  </si>
  <si>
    <t xml:space="preserve">12 % + IGST </t>
  </si>
  <si>
    <t>EYEPHARMA(PTY) LTD.</t>
  </si>
  <si>
    <t xml:space="preserve">EYEPHARMA - EYEOL UK  -SEALION TRADING  </t>
  </si>
  <si>
    <t xml:space="preserve">I ALPHAMED - EYEPHARMA(PTY) - SPECTRUM INTERNATIONAL -PHRONEMA SRL </t>
  </si>
  <si>
    <t>AADPRI - EYEPHARMA - EYEOL UK LIMITED</t>
  </si>
  <si>
    <t>EYEPHARMA(PTY) - EYEOL UK LIMITED - DR. RAHUL RAGHAV - AADPRI - LENTECH S.A.  - OPHTALMO SERVICE</t>
  </si>
  <si>
    <t>D - VISCO P.F SYRINGE 2 ML</t>
  </si>
  <si>
    <t xml:space="preserve">AADPRI   OPHTHALMIC COMPANY </t>
  </si>
  <si>
    <r>
      <rPr>
        <b/>
        <sz val="36"/>
        <color theme="1"/>
        <rFont val="Consolas"/>
        <charset val="134"/>
      </rPr>
      <t xml:space="preserve">VISCOLON PFS 2ML </t>
    </r>
    <r>
      <rPr>
        <b/>
        <sz val="36"/>
        <color rgb="FFFF0000"/>
        <rFont val="Consolas"/>
        <charset val="134"/>
      </rPr>
      <t>( GLASS )</t>
    </r>
  </si>
  <si>
    <t>ZARIF LENS - EYEPHARMA - DR. RAHUL RAGHAV - EYEOL UK - SEHA PHA - OPHTALMO SURGICAL  - ROMDIS -PHRONEMA - MINH NHI MEDICAL</t>
  </si>
  <si>
    <t xml:space="preserve">BLUERHEXIS 1ML (01 X 05 )   -  CARTON </t>
  </si>
  <si>
    <r>
      <rPr>
        <b/>
        <sz val="36"/>
        <color theme="1"/>
        <rFont val="Consolas"/>
        <charset val="134"/>
      </rPr>
      <t xml:space="preserve">VISCOLON 2.4 % P.F SYRINGES 2 ML ( </t>
    </r>
    <r>
      <rPr>
        <b/>
        <sz val="36"/>
        <color rgb="FFFF0000"/>
        <rFont val="Consolas"/>
        <charset val="134"/>
      </rPr>
      <t>GLASS</t>
    </r>
    <r>
      <rPr>
        <b/>
        <sz val="36"/>
        <color theme="1"/>
        <rFont val="Consolas"/>
        <charset val="134"/>
      </rPr>
      <t xml:space="preserve"> ) </t>
    </r>
  </si>
  <si>
    <t>Phenocaine Plus PFS 0.5mL</t>
  </si>
  <si>
    <t>2.25 mL Glass Barrel with Barrel tips</t>
  </si>
  <si>
    <t>Plunger Tips for 2 or 3 mL</t>
  </si>
  <si>
    <t>Plunger Rod for 2 mL (White)</t>
  </si>
  <si>
    <t>Mocare-LP Eye Drops 5mL</t>
  </si>
  <si>
    <t>Contasil 1300 - 10 (VIAL )</t>
  </si>
  <si>
    <t>VistaGlo (1x300)</t>
  </si>
  <si>
    <t>SYNO ONE 6ML</t>
  </si>
  <si>
    <t>EyeGel 2% PFS 2.0 ML (BUBBLE FREE)</t>
  </si>
  <si>
    <r>
      <rPr>
        <b/>
        <sz val="36"/>
        <color theme="1"/>
        <rFont val="Consolas"/>
        <charset val="134"/>
      </rPr>
      <t xml:space="preserve">VISCOLON PFS 3ML </t>
    </r>
    <r>
      <rPr>
        <b/>
        <sz val="36"/>
        <color rgb="FFFF0000"/>
        <rFont val="Consolas"/>
        <charset val="134"/>
      </rPr>
      <t>( GLASS )</t>
    </r>
  </si>
  <si>
    <t>MAYOVISC - 6 ML</t>
  </si>
  <si>
    <t>EyeGel 2% PREFILLED SYRINGE 2.0 ML</t>
  </si>
  <si>
    <t>CAREGROUP</t>
  </si>
  <si>
    <t xml:space="preserve">CAREGROUP SIGHT SOLUTION PRIVATE LIMITED </t>
  </si>
  <si>
    <t>DABHASA BESIDE OF GOODS LIFT VILLAGE -DABHASA</t>
  </si>
  <si>
    <t xml:space="preserve">TAL -PADRA, BLOCK NO 310/E , ROOM NO 1, </t>
  </si>
  <si>
    <t>DIST-VADODARA-391440 391440 DABHASA INDIA</t>
  </si>
  <si>
    <t>CAREGROUP - 310 / C &amp; E</t>
  </si>
  <si>
    <t>BUSCH VACUUM INDIA</t>
  </si>
  <si>
    <t>BUSCH VACUUM INDIA PRIVATE LIMITED</t>
  </si>
  <si>
    <t xml:space="preserve">122050 GURGAO </t>
  </si>
  <si>
    <t>COOPERATIVE INDUSTRIAL-ESTATE</t>
  </si>
  <si>
    <t>NEWDELHI-110044 UNIT BT 3,B-1/D-2,MOHAN</t>
  </si>
  <si>
    <t xml:space="preserve">110044 NEW DELHI INDIA </t>
  </si>
  <si>
    <t xml:space="preserve">UNIT-B, GROUND FLOOR </t>
  </si>
  <si>
    <t>E-47/2, OKHLA INDUSTRIAL AREA</t>
  </si>
  <si>
    <t xml:space="preserve"> PHASE-2, NEW DELHI 110020</t>
  </si>
  <si>
    <t>SANAND-AHMEDABAD382210AHMEDABAD</t>
  </si>
  <si>
    <t>380061 AHMEDABAD</t>
  </si>
  <si>
    <t xml:space="preserve">THE CIVIL SURGEON-CUM SUPERINTENDENT </t>
  </si>
  <si>
    <t>DISTRICT HOSPITAL KHANDWA</t>
  </si>
  <si>
    <t xml:space="preserve"> GANESH- GANJ MATERNITY</t>
  </si>
  <si>
    <t>BIO-ORIGIN PHARMA PRIVATE LIMITED</t>
  </si>
  <si>
    <t>INDUSTRIAL ESTATE PHASE -1,</t>
  </si>
  <si>
    <t>FIRST FLOOR,B-112,DDA SHEDS,OKHLA</t>
  </si>
  <si>
    <t>NEW DELHI - 110020</t>
  </si>
  <si>
    <r>
      <rPr>
        <b/>
        <sz val="48"/>
        <color rgb="FFFF0000"/>
        <rFont val="Courier New"/>
        <charset val="134"/>
      </rPr>
      <t xml:space="preserve">KEMGEN BIOLOGICS PRIVATE LIMITED  </t>
    </r>
    <r>
      <rPr>
        <b/>
        <sz val="48"/>
        <rFont val="Courier New"/>
        <charset val="134"/>
      </rPr>
      <t xml:space="preserve"> </t>
    </r>
  </si>
  <si>
    <r>
      <rPr>
        <b/>
        <sz val="48"/>
        <color rgb="FF000000"/>
        <rFont val="Courier New"/>
        <charset val="134"/>
      </rPr>
      <t xml:space="preserve">KEMGEN BIOLOGICS PRIVATE LIMITED  </t>
    </r>
    <r>
      <rPr>
        <b/>
        <sz val="48"/>
        <rFont val="Courier New"/>
        <charset val="134"/>
      </rPr>
      <t xml:space="preserve"> </t>
    </r>
  </si>
  <si>
    <t>PORTION OF RIGHT SIDE BEHIND</t>
  </si>
  <si>
    <t>HERITAGE MILK PARLOUR,PAPARAYADU</t>
  </si>
  <si>
    <t>H.NO4-42-1032/2</t>
  </si>
  <si>
    <t>GROUNDFLOOR PART  NAGAR,KUKATPALLY</t>
  </si>
  <si>
    <t>ZYDUS LIFESCIENCES LIMITED</t>
  </si>
  <si>
    <t xml:space="preserve">NATIONAL HIGHWAY-NO 8A MORAI </t>
  </si>
  <si>
    <t>CHANGODAR,AHMEDABAD-382213</t>
  </si>
  <si>
    <t>SURVEY NO-396P,SARKHEJ-BAVLA</t>
  </si>
  <si>
    <t>382213 AHMEDABAD</t>
  </si>
  <si>
    <t>SUNWAYS (INDIA) PVT.LTD - Bille To</t>
  </si>
  <si>
    <t>DHOLKA,DIS</t>
  </si>
  <si>
    <t xml:space="preserve">PLOT NO-802,G.I.D.C ESTATE, 382225 AHMEDABAD   </t>
  </si>
  <si>
    <t>SUNWAYS (INDIA) PVT.LTD - Ship To</t>
  </si>
  <si>
    <t>MUMBAI,MAHARASHTRA-400063</t>
  </si>
  <si>
    <t>MEHTA IND.ESTATE,GOREGAON (EAST),</t>
  </si>
  <si>
    <t xml:space="preserve">MEDICAL CHOICE </t>
  </si>
  <si>
    <t xml:space="preserve">SERVICIOS Y COMERCIALIZADORA DE </t>
  </si>
  <si>
    <t>INSUMOS MEDICOS N DE ID : 77.125.800 - K</t>
  </si>
  <si>
    <t>CALLE LOS JESUITAS 544  SANTIAGO</t>
  </si>
  <si>
    <t xml:space="preserve">12345 CHILE </t>
  </si>
  <si>
    <t>UNIT # C-2 ATLANTA  GA 30318 1345</t>
  </si>
  <si>
    <t>SEABOARD INDUSTRIAL BLVD NW</t>
  </si>
  <si>
    <t xml:space="preserve">EXCIMED SDN BHD </t>
  </si>
  <si>
    <t xml:space="preserve">WISMA ZELAN, JALAN TASIK- PERMAISURI 2,  </t>
  </si>
  <si>
    <t>BANDAR TUN RAZAK, SUIT 12-08</t>
  </si>
  <si>
    <t>(12 TH FLOOR UNIT 08)</t>
  </si>
  <si>
    <t xml:space="preserve">INNOVACIONES NOVEDOSAS UNIVERSALES </t>
  </si>
  <si>
    <t>SA  0  EDIFICIO, GUATEMALA</t>
  </si>
  <si>
    <t xml:space="preserve">C.A. INNOVU 15 CALLE 3-20 ZONA 1 </t>
  </si>
  <si>
    <t>000000 GUATEMALA   GUATEMALA</t>
  </si>
  <si>
    <t xml:space="preserve">EYEPHARMA(PTY) LTD </t>
  </si>
  <si>
    <t>ESPLANADE ROAD, SOUTH AFRICA</t>
  </si>
  <si>
    <t>CENTURY CITY, 7441, CAPE TOWN,  UNIT 10 THE PAVILLION,  VAT NO:4020241651,REG NO.:2005/001557/07 CAPE TOWN  7441 SOUTH AFRICA</t>
  </si>
  <si>
    <t>DEXA CARE PVT. LTD. OKHLA INDUSTRIAL AREA, PHASE-2,</t>
  </si>
  <si>
    <t>UNIT-B, GROUND FLOOR, E-47/2, 110020 NEW DELHI INDIA</t>
  </si>
  <si>
    <t xml:space="preserve">TAL. PADRA,DIST. VADODARA BLOCK NO.310-B/D/E, VILLAGE. DABHASA, 391440 DABHASAINDIA </t>
  </si>
  <si>
    <t>HASSAN RABAT MOROCCO</t>
  </si>
  <si>
    <t>10020 RABAT</t>
  </si>
  <si>
    <t>ENTOD PHARMACEUTICALS LTD.</t>
  </si>
  <si>
    <t>CLUJ -NAPOCA</t>
  </si>
  <si>
    <t>SRL . MINERILOR , NR .45</t>
  </si>
  <si>
    <t>400409 CLUJ-NAPOCA</t>
  </si>
  <si>
    <t>25 RUE EL OQHOWANE,</t>
  </si>
  <si>
    <t>VILLA NO. 1187, UMM AL SHEIF,</t>
  </si>
  <si>
    <t>AL WASL ROAD,</t>
  </si>
  <si>
    <t>QUIRONSALUD MEDICAL INSTITUTE,</t>
  </si>
  <si>
    <t>P.O.Box 4191, Dubai, UAE</t>
  </si>
  <si>
    <t>Al Quoz Industrial Area2, Al Aasayal Road</t>
  </si>
  <si>
    <t>4191 DUBAI, UAE</t>
  </si>
  <si>
    <t>BIOELITE LIFESCIENCES PVT.</t>
  </si>
  <si>
    <t>LTD.</t>
  </si>
  <si>
    <t>BLDG.40-42,STR.3</t>
  </si>
  <si>
    <t>FLOOR 1,PREMISES X1II,ROOM 1,</t>
  </si>
  <si>
    <t>115035,KOSMODAMIANSKYA NAB</t>
  </si>
  <si>
    <t>OFFICE 2,MOSCOW,</t>
  </si>
  <si>
    <t>115035 MOSCOW</t>
  </si>
  <si>
    <t>RUSSIAN FEDERATION</t>
  </si>
  <si>
    <t>, URB. FERNANDEZ,</t>
  </si>
  <si>
    <t xml:space="preserve"> NSW 2019 SYDNEY</t>
  </si>
  <si>
    <t>UNIT H 15/F P. FAURA ST.</t>
  </si>
  <si>
    <t>8 ADRIATICO TOWER 1</t>
  </si>
  <si>
    <t>1000 MANILA</t>
  </si>
  <si>
    <t>LENSTECH INNOVATIONS PVT. LTD.</t>
  </si>
  <si>
    <t>BATTARAMULLA,</t>
  </si>
  <si>
    <t>10120, COLOMBO, SRI LANKA</t>
  </si>
  <si>
    <t>NO. 295/45, PIPE ROAD, KOSWATTE,</t>
  </si>
  <si>
    <t>10120 COLOMBO</t>
  </si>
  <si>
    <t xml:space="preserve"> STREET-RAZI STREET,</t>
  </si>
  <si>
    <t xml:space="preserve"> JORDAN</t>
  </si>
  <si>
    <t xml:space="preserve"> UNITED KINGDOM</t>
  </si>
  <si>
    <t xml:space="preserve"> LU5 4S</t>
  </si>
  <si>
    <t>FUNG YIP STREET, KAILEY BUILDING,</t>
  </si>
  <si>
    <t>500004 HYDERABAD</t>
  </si>
  <si>
    <t xml:space="preserve"> DABHASA</t>
  </si>
  <si>
    <t>AZTEC RECYCLING HUB PRIVATE</t>
  </si>
  <si>
    <t>E-08908 BARCELONA</t>
  </si>
  <si>
    <t>SARKHEJ GANDHI NAGAR HIGHWAY,</t>
  </si>
  <si>
    <t>NEAR BMW SHOWROOM, THALTEJ,</t>
  </si>
  <si>
    <t>4TH FLOOR, D-401 TITANIUM SQUARE,</t>
  </si>
  <si>
    <t xml:space="preserve">PH CODE </t>
  </si>
  <si>
    <t>ITEM DESCRIPTION</t>
  </si>
  <si>
    <t xml:space="preserve">Order Quantity </t>
  </si>
  <si>
    <t>PCS</t>
  </si>
  <si>
    <t>PLANT</t>
  </si>
  <si>
    <t xml:space="preserve">RATE </t>
  </si>
  <si>
    <t>AMOUNT</t>
  </si>
  <si>
    <t xml:space="preserve">TOTAL VALUE </t>
  </si>
  <si>
    <t xml:space="preserve">TOTAL </t>
  </si>
  <si>
    <t xml:space="preserve">YEAR </t>
  </si>
  <si>
    <t>INV NO</t>
  </si>
  <si>
    <t>ITEM</t>
  </si>
  <si>
    <t>T.  BOXES</t>
  </si>
  <si>
    <t>BOX</t>
  </si>
  <si>
    <t>TRANSPORTER</t>
  </si>
  <si>
    <t>DATE</t>
  </si>
  <si>
    <t xml:space="preserve">RECEPIT </t>
  </si>
  <si>
    <t xml:space="preserve">VEHICLE  NO </t>
  </si>
  <si>
    <t>LR</t>
  </si>
  <si>
    <t xml:space="preserve">Domestic / Export </t>
  </si>
  <si>
    <t>DB2426600468</t>
  </si>
  <si>
    <t xml:space="preserve">INVOICE </t>
  </si>
  <si>
    <t>BOXES</t>
  </si>
  <si>
    <t xml:space="preserve">SHREE NANDN COURIER </t>
  </si>
  <si>
    <t>YES</t>
  </si>
  <si>
    <t>-</t>
  </si>
  <si>
    <t>DOMESTIC</t>
  </si>
  <si>
    <t>EX2426600110</t>
  </si>
  <si>
    <t>EXPORT</t>
  </si>
  <si>
    <t>DB2426600472</t>
  </si>
  <si>
    <t xml:space="preserve">MEET ROAD CARRIERS </t>
  </si>
  <si>
    <t>DB2426600473</t>
  </si>
  <si>
    <t xml:space="preserve">DEXA CARE PVT LTD </t>
  </si>
  <si>
    <t xml:space="preserve">VE EXPREE ( TO PAY BASIS  - Original Copy In Envelop - cover) </t>
  </si>
  <si>
    <t>EX2426600111</t>
  </si>
  <si>
    <t>G.S.OPTIXX LTD</t>
  </si>
  <si>
    <t>UPS EXPRESS PRIVATE LIMITED</t>
  </si>
  <si>
    <t>DB2426600476</t>
  </si>
  <si>
    <t>MH47BT4333</t>
  </si>
  <si>
    <t>DB2426600479</t>
  </si>
  <si>
    <t xml:space="preserve">KHODAL ROADWAYS </t>
  </si>
  <si>
    <t>GJ38T9346</t>
  </si>
  <si>
    <t>DB2426600480</t>
  </si>
  <si>
    <t xml:space="preserve">VE XPRESS </t>
  </si>
  <si>
    <t>EX2426600112</t>
  </si>
  <si>
    <t>DB2426600482</t>
  </si>
  <si>
    <t>GJ06X7403</t>
  </si>
  <si>
    <t>DB2426600483</t>
  </si>
  <si>
    <t>EX2426600113</t>
  </si>
  <si>
    <t>AN-VISION GMBH</t>
  </si>
  <si>
    <t xml:space="preserve">GJ06AV3769 </t>
  </si>
  <si>
    <t>EX2426600114</t>
  </si>
  <si>
    <t>DHL EXPRESS (INDIA) PRIVATE LIMITED</t>
  </si>
  <si>
    <t>EX2426600116</t>
  </si>
  <si>
    <t>DR RAHUL RAGHAV</t>
  </si>
  <si>
    <t>EX2426600117</t>
  </si>
  <si>
    <t xml:space="preserve"> MEDICAL CHOICE </t>
  </si>
  <si>
    <t xml:space="preserve">  SIDDHARTH TRANSPORT LOGISTICS </t>
  </si>
  <si>
    <t>GJ01KT0459</t>
  </si>
  <si>
    <t>DB2426600487</t>
  </si>
  <si>
    <t>ENTOD PHARMACEUTICALS LIMITED</t>
  </si>
  <si>
    <t xml:space="preserve">ATS CARGO PRIVATE LIMITED </t>
  </si>
  <si>
    <t>DB2426600488</t>
  </si>
  <si>
    <t xml:space="preserve">BY DIVYESHBHAI </t>
  </si>
  <si>
    <t>GJ01KQ5005</t>
  </si>
  <si>
    <t>EX2426600118</t>
  </si>
  <si>
    <t>GJ06AZ9703</t>
  </si>
  <si>
    <t>EX2426600119</t>
  </si>
  <si>
    <t>BAHAMAS ORTHOPAEDIC &amp; SPINE CENTRE</t>
  </si>
  <si>
    <t>DB2426600489</t>
  </si>
  <si>
    <t xml:space="preserve">PLASTIC PALLETS </t>
  </si>
  <si>
    <t>EXGATEFACTORY</t>
  </si>
  <si>
    <t>GJ06BX7090</t>
  </si>
  <si>
    <t xml:space="preserve">EX2426600120 </t>
  </si>
  <si>
    <t>EX2426600121</t>
  </si>
  <si>
    <t>EX2426600122</t>
  </si>
  <si>
    <t xml:space="preserve">DB2426600497 </t>
  </si>
  <si>
    <t>BIOELITE LIFESCIENCES PRIVATE LIMITED</t>
  </si>
  <si>
    <t>SHREE NANDAN COURIER LIMITED</t>
  </si>
  <si>
    <t>DB2426600499</t>
  </si>
  <si>
    <t>EX2426600124</t>
  </si>
  <si>
    <t xml:space="preserve">PHARMASIN LTD </t>
  </si>
  <si>
    <t>EX2426600125</t>
  </si>
  <si>
    <t xml:space="preserve">GJ16AV1601 </t>
  </si>
  <si>
    <t>EX2426600126</t>
  </si>
  <si>
    <t>EX2426600127</t>
  </si>
  <si>
    <t>DB2426600506</t>
  </si>
  <si>
    <t>DEXA CARE PVT. LTD.</t>
  </si>
  <si>
    <t>EX2426600128</t>
  </si>
  <si>
    <t>MDT SP.Z O.O</t>
  </si>
  <si>
    <t>SHREE HARSIDDHI TRANSPORT</t>
  </si>
  <si>
    <t xml:space="preserve">GJ07TU5264 </t>
  </si>
  <si>
    <t>20252026/2456</t>
  </si>
  <si>
    <t xml:space="preserve"> EX2426600129 </t>
  </si>
  <si>
    <t>PENDING</t>
  </si>
  <si>
    <t xml:space="preserve">GJ06AZ9703 </t>
  </si>
  <si>
    <t>DB2426600511</t>
  </si>
  <si>
    <t>DB2426600514</t>
  </si>
  <si>
    <t xml:space="preserve">SURI EDGE INDIA </t>
  </si>
  <si>
    <t xml:space="preserve">BLUE DART </t>
  </si>
  <si>
    <t xml:space="preserve"> EX2426600130</t>
  </si>
  <si>
    <t xml:space="preserve">DHL EXPRESS (INDIA) PRIVATE LIMITED </t>
  </si>
  <si>
    <t>DB2426600521</t>
  </si>
  <si>
    <t>MH04KU6977</t>
  </si>
  <si>
    <t>DB2426600522</t>
  </si>
  <si>
    <t>DB2426600524</t>
  </si>
  <si>
    <t>INDOCO REMEDIES LIMITED</t>
  </si>
  <si>
    <t>SAINATH LOGISTICS</t>
  </si>
  <si>
    <t>GJ06BV2082</t>
  </si>
  <si>
    <t>BRD</t>
  </si>
  <si>
    <t xml:space="preserve"> EX2426600132 </t>
  </si>
  <si>
    <t xml:space="preserve">DHL EXPRESS ( INDIA ) PRIVATE LIMITED </t>
  </si>
  <si>
    <t>DB2426600531</t>
  </si>
  <si>
    <t xml:space="preserve"> EX2426600133</t>
  </si>
  <si>
    <t>FEDEX EXPRESS TRANSPORTATION AND SUPPLY CHAIN SERVICES (I) PRIVATE LIMITED</t>
  </si>
  <si>
    <t xml:space="preserve"> EX2426600134</t>
  </si>
  <si>
    <t>DL01LAC6937</t>
  </si>
  <si>
    <t>DB2426600533</t>
  </si>
  <si>
    <t>DB2426600534</t>
  </si>
  <si>
    <t>DB2426600538</t>
  </si>
  <si>
    <t>DB2426600540</t>
  </si>
  <si>
    <t>DB2426600542</t>
  </si>
  <si>
    <t xml:space="preserve"> EX2426600135</t>
  </si>
  <si>
    <t>EYE LENS PTE LTD</t>
  </si>
  <si>
    <t>DB2426600543</t>
  </si>
  <si>
    <t xml:space="preserve">ENTOD PHARMACEUTICALS LTD </t>
  </si>
  <si>
    <t>MH05EL7262</t>
  </si>
  <si>
    <t>DB2426600546</t>
  </si>
  <si>
    <r>
      <rPr>
        <sz val="28"/>
        <rFont val="Arial"/>
        <charset val="134"/>
      </rPr>
      <t xml:space="preserve">SHREE NANDAN COURIER LIMITED </t>
    </r>
    <r>
      <rPr>
        <sz val="28"/>
        <color rgb="FFFF0000"/>
        <rFont val="Arial"/>
        <charset val="134"/>
      </rPr>
      <t>( TO PAY BASIS )</t>
    </r>
  </si>
  <si>
    <t>DB2426600548</t>
  </si>
  <si>
    <t>GJ01DZ5418</t>
  </si>
  <si>
    <t>DB2426600553</t>
  </si>
  <si>
    <t xml:space="preserve">MASTRO BIOLOGICALS PRIVATE LIMITED </t>
  </si>
  <si>
    <t xml:space="preserve">BLUE DART EXPRESS LIMITED </t>
  </si>
  <si>
    <t>DB2426600554</t>
  </si>
  <si>
    <t>GJ01UU8271</t>
  </si>
  <si>
    <t>EX2426600136</t>
  </si>
  <si>
    <t>DB2426600557</t>
  </si>
  <si>
    <t>DB2426600560</t>
  </si>
  <si>
    <t>MH47BY4333</t>
  </si>
  <si>
    <t>DB2426600561</t>
  </si>
  <si>
    <t>GJ06BT0521</t>
  </si>
  <si>
    <t>DB2426600562</t>
  </si>
  <si>
    <t>EX2426600137</t>
  </si>
  <si>
    <t>DB2426600575 </t>
  </si>
  <si>
    <t xml:space="preserve">V TRANS , V XPRESS V LOGIS </t>
  </si>
  <si>
    <t>DB2426600579</t>
  </si>
  <si>
    <t>DB2426600580</t>
  </si>
  <si>
    <t xml:space="preserve">SUNWAYS INDIA PVT LTD </t>
  </si>
  <si>
    <t>GJ23AW3975</t>
  </si>
  <si>
    <t>EX2426600145</t>
  </si>
  <si>
    <t>MEDICONSULT INTRAOCULAR GMBH</t>
  </si>
  <si>
    <t>GJ016VV1288</t>
  </si>
  <si>
    <t>DB2426600581</t>
  </si>
  <si>
    <t>BOXE</t>
  </si>
  <si>
    <t xml:space="preserve">SHREE NANDAN COURIER </t>
  </si>
  <si>
    <t>1163252006963</t>
  </si>
  <si>
    <t>DB2426600583</t>
  </si>
  <si>
    <t>DB2426600590</t>
  </si>
  <si>
    <t>GJ01BT8856</t>
  </si>
  <si>
    <t xml:space="preserve">DOMESTIC CALCULTION SHEET </t>
  </si>
  <si>
    <t>QUANTITY</t>
  </si>
  <si>
    <t>5 % GST</t>
  </si>
  <si>
    <t xml:space="preserve">TOTAL AMOUNT </t>
  </si>
  <si>
    <t>NOS</t>
  </si>
  <si>
    <t>TOTAL</t>
  </si>
  <si>
    <t>RATE (USD)</t>
  </si>
  <si>
    <t xml:space="preserve">Currency to Word </t>
  </si>
  <si>
    <t>https://num2word.com</t>
  </si>
  <si>
    <t xml:space="preserve">NO </t>
  </si>
  <si>
    <t xml:space="preserve">Item Code </t>
  </si>
  <si>
    <t xml:space="preserve">Description </t>
  </si>
  <si>
    <t>TPM1000015</t>
  </si>
  <si>
    <t xml:space="preserve">PLASTIC PALLET 120(L)X100(W)X15(H) CM </t>
  </si>
  <si>
    <t>TPM1000001</t>
  </si>
  <si>
    <t>5PLY 23"X17"X18"</t>
  </si>
  <si>
    <t>23X18X18</t>
  </si>
  <si>
    <t>58X46X46</t>
  </si>
  <si>
    <t>TPM1000002</t>
  </si>
  <si>
    <t>5PLY 20.5X15 X15"</t>
  </si>
  <si>
    <t>20.5X15X15</t>
  </si>
  <si>
    <t>52X38X38</t>
  </si>
  <si>
    <t>TPM1000003</t>
  </si>
  <si>
    <t>5PLY 16.75" X 16.75"X 16.75"</t>
  </si>
  <si>
    <t>17X17X17</t>
  </si>
  <si>
    <t>43X43X43</t>
  </si>
  <si>
    <t>TPM1000004</t>
  </si>
  <si>
    <t>5PLY 14.5" X 14.5" X 14.5"</t>
  </si>
  <si>
    <t>TPM1000005</t>
  </si>
  <si>
    <t>5PLY 10.82X7.80X8.27"-PARTITION</t>
  </si>
  <si>
    <t>TPM1000006</t>
  </si>
  <si>
    <t>5PLY 16.73"X12.01"X8.86"</t>
  </si>
  <si>
    <t>TPM1000007</t>
  </si>
  <si>
    <t>5PLY 9.69"X6.73"X6.73"</t>
  </si>
  <si>
    <t>TPM1000008</t>
  </si>
  <si>
    <t>5PLY 14.69"x10.52"x8.08"</t>
  </si>
  <si>
    <t>15X10X09</t>
  </si>
  <si>
    <t>38X26X23</t>
  </si>
  <si>
    <t>TPM1000009</t>
  </si>
  <si>
    <t>5PLY 18.75"X13"X9.84"</t>
  </si>
  <si>
    <t>TPM1000010</t>
  </si>
  <si>
    <t>5PLY 275X210X150 MM</t>
  </si>
  <si>
    <t>TPM1000011</t>
  </si>
  <si>
    <t>5PLY 235X180X155 MM-PTN (100ML INNER)</t>
  </si>
  <si>
    <t>TPM1000012</t>
  </si>
  <si>
    <t>5PLY 375X245X145 MM (100ML OUTER)</t>
  </si>
  <si>
    <t>TPM1000013</t>
  </si>
  <si>
    <t>5PLY 17"X12.01"X12" (100ML MPS)</t>
  </si>
  <si>
    <t>TPM1000014</t>
  </si>
  <si>
    <t>5PLY 470X335X172 MM</t>
  </si>
  <si>
    <t xml:space="preserve">TOTAL QUANTITY </t>
  </si>
  <si>
    <t>WEIGHT</t>
  </si>
  <si>
    <t>DIMENSION</t>
  </si>
  <si>
    <t xml:space="preserve">BATCH NO </t>
  </si>
  <si>
    <t xml:space="preserve">MFG DATE </t>
  </si>
  <si>
    <t xml:space="preserve">EXP DATE </t>
  </si>
  <si>
    <t>2025-10</t>
  </si>
  <si>
    <t>2028-09</t>
  </si>
  <si>
    <t xml:space="preserve">ORDER TYPE </t>
  </si>
  <si>
    <t>YEXO</t>
  </si>
  <si>
    <t xml:space="preserve">CPPL Scrape Sal Order </t>
  </si>
  <si>
    <t xml:space="preserve">Sales Organization  </t>
  </si>
  <si>
    <t xml:space="preserve">Distribution Channel </t>
  </si>
  <si>
    <t>EX</t>
  </si>
  <si>
    <t xml:space="preserve">INCOTERMS </t>
  </si>
  <si>
    <t>EXW</t>
  </si>
  <si>
    <t>Ex Works</t>
  </si>
  <si>
    <t>Division </t>
  </si>
  <si>
    <t xml:space="preserve">Sales Office </t>
  </si>
  <si>
    <t>SUM</t>
  </si>
  <si>
    <t>CIF</t>
  </si>
  <si>
    <t>Costs, insurance &amp; freight</t>
  </si>
  <si>
    <t>23''X18''X18''</t>
  </si>
  <si>
    <t>18''X13.5''X11''</t>
  </si>
  <si>
    <t>46X34X28</t>
  </si>
  <si>
    <t xml:space="preserve">DOCUMENTS DATE </t>
  </si>
  <si>
    <t xml:space="preserve">DOCUMENTS CURRENCY </t>
  </si>
  <si>
    <t xml:space="preserve">SOLD TO PARTY NAME </t>
  </si>
  <si>
    <t xml:space="preserve">EXCHANGE RATE </t>
  </si>
  <si>
    <t xml:space="preserve">MATERIAL </t>
  </si>
  <si>
    <t xml:space="preserve">MATERIAL DESCRIPTION </t>
  </si>
  <si>
    <t xml:space="preserve">NET PRICE </t>
  </si>
  <si>
    <t>Nency#2009</t>
  </si>
  <si>
    <t xml:space="preserve">9410004221 -  EX2426000677 </t>
  </si>
  <si>
    <t>YTPO</t>
  </si>
  <si>
    <t>CPPL Third Party</t>
  </si>
  <si>
    <t>Care4Sight Sales Org</t>
  </si>
  <si>
    <t>Surgical Solutions</t>
  </si>
  <si>
    <t>CARE4SIGHT DABHASA</t>
  </si>
  <si>
    <t xml:space="preserve">CPPL EXPORT SALES ORDER </t>
  </si>
  <si>
    <t>YFEO</t>
  </si>
  <si>
    <t xml:space="preserve">CPPL FOC EXP ORDER </t>
  </si>
  <si>
    <t>TOTAL  BOXES</t>
  </si>
  <si>
    <t>DB2426600296</t>
  </si>
  <si>
    <t>UHC PHARMACEUTICAL - MRP : 80.000</t>
  </si>
  <si>
    <t>EX2426600078</t>
  </si>
  <si>
    <t>MH03EG6196</t>
  </si>
  <si>
    <t>EX2426600077</t>
  </si>
  <si>
    <t>GJ06BX9539</t>
  </si>
  <si>
    <t>DB2426600297 </t>
  </si>
  <si>
    <t>SURGI  EDGE INDIA</t>
  </si>
  <si>
    <t>BLUE DART EXPRESS LIMITED</t>
  </si>
  <si>
    <t>DB2426600305</t>
  </si>
  <si>
    <t>OPHTHON</t>
  </si>
  <si>
    <t>DB2426600306</t>
  </si>
  <si>
    <t>DB2426600307</t>
  </si>
  <si>
    <t>EX2426600079</t>
  </si>
  <si>
    <t>I - SENZ MEDICAL INC</t>
  </si>
  <si>
    <t>GJ06BV3003</t>
  </si>
  <si>
    <t>DB2426600310</t>
  </si>
  <si>
    <t>DB2426600313</t>
  </si>
  <si>
    <t>DB2426600314</t>
  </si>
  <si>
    <t>DB2426600315</t>
  </si>
  <si>
    <t>GJ38TA4892</t>
  </si>
  <si>
    <t>EX2426600080 </t>
  </si>
  <si>
    <t xml:space="preserve">GJ06BT3269 </t>
  </si>
  <si>
    <t>EX2426600082</t>
  </si>
  <si>
    <t>LENSTECH INNOVATIONS PVT. LTD</t>
  </si>
  <si>
    <t>GJ06AZ9607</t>
  </si>
  <si>
    <t>EX2426600081</t>
  </si>
  <si>
    <t xml:space="preserve">Plastic Pallets </t>
  </si>
  <si>
    <t xml:space="preserve">JITENDRA ROADLINES </t>
  </si>
  <si>
    <t>EX2426600083 </t>
  </si>
  <si>
    <t>EYEPHARMA(PTY) LTD</t>
  </si>
  <si>
    <t>DELHIVERY LIMITED (FEDEX)</t>
  </si>
  <si>
    <t>EX2426600084 </t>
  </si>
  <si>
    <t>EX2426600085</t>
  </si>
  <si>
    <t xml:space="preserve">KASHISH ROADWAYS </t>
  </si>
  <si>
    <t>EXP/23322</t>
  </si>
  <si>
    <t>EX2426600086</t>
  </si>
  <si>
    <t>EXP/23323</t>
  </si>
  <si>
    <t>EX2426600087</t>
  </si>
  <si>
    <t xml:space="preserve">DHL EXPRESS </t>
  </si>
  <si>
    <t>EX2426600088</t>
  </si>
  <si>
    <t>ZAIRF LENS LTD</t>
  </si>
  <si>
    <t>GJ16AV1601</t>
  </si>
  <si>
    <t>DB2426600343</t>
  </si>
  <si>
    <t>DB2426600346</t>
  </si>
  <si>
    <t>ATS CARGO PVT LTD</t>
  </si>
  <si>
    <t>MH48AG1527</t>
  </si>
  <si>
    <t>EX2426600089</t>
  </si>
  <si>
    <t>DB2426600352</t>
  </si>
  <si>
    <t>DB2426600353</t>
  </si>
  <si>
    <t>DB2426600355</t>
  </si>
  <si>
    <t>DB2426600356</t>
  </si>
  <si>
    <t xml:space="preserve"> 64868 </t>
  </si>
  <si>
    <t>DB2426600357</t>
  </si>
  <si>
    <t>EX2426600090</t>
  </si>
  <si>
    <t>I-SENZ MEDICAL INC</t>
  </si>
  <si>
    <t xml:space="preserve">GJ06BV1906 </t>
  </si>
  <si>
    <t>8914 </t>
  </si>
  <si>
    <t>DB2426600360</t>
  </si>
  <si>
    <t>MH48CB4814</t>
  </si>
  <si>
    <t>EX2426600091</t>
  </si>
  <si>
    <t>GJ06BX6233</t>
  </si>
  <si>
    <t>EX2426600092</t>
  </si>
  <si>
    <t>MH48CB79677</t>
  </si>
  <si>
    <t>DB2426600367</t>
  </si>
  <si>
    <t>BIOELITE LIFESCIENCES PVT. LTD.</t>
  </si>
  <si>
    <t>DB2426600372</t>
  </si>
  <si>
    <t>DB2426600383</t>
  </si>
  <si>
    <t>GJ18AZ6247</t>
  </si>
  <si>
    <t>DB2426600389</t>
  </si>
  <si>
    <t>GJ07YZ9121</t>
  </si>
  <si>
    <t>DB2426600390</t>
  </si>
  <si>
    <t>GJ23AW0346</t>
  </si>
  <si>
    <t>DB2426600391</t>
  </si>
  <si>
    <t>EX2426600093</t>
  </si>
  <si>
    <t>GJ01LT4262 </t>
  </si>
  <si>
    <t>EX2426600094</t>
  </si>
  <si>
    <t>MH02GH7289 </t>
  </si>
  <si>
    <t>EX2426600095</t>
  </si>
  <si>
    <t>GJ16AY2354 </t>
  </si>
  <si>
    <t>EX2426600096</t>
  </si>
  <si>
    <t>EX2426600097</t>
  </si>
  <si>
    <t xml:space="preserve">EYEOL UK LIMITED </t>
  </si>
  <si>
    <t>DB2426600396</t>
  </si>
  <si>
    <t>MASTRO BIOLOGICALS PRIVATE LIMITED</t>
  </si>
  <si>
    <t>EX2426600099</t>
  </si>
  <si>
    <t xml:space="preserve">APPLE VISON SDN BHD </t>
  </si>
  <si>
    <t>EX2426600101</t>
  </si>
  <si>
    <t>GJ06BY1626</t>
  </si>
  <si>
    <t>EX2426600102</t>
  </si>
  <si>
    <t>EX2426600104 </t>
  </si>
  <si>
    <t>MH47AS8239 </t>
  </si>
  <si>
    <t>DB2426600423</t>
  </si>
  <si>
    <t>INTAS</t>
  </si>
  <si>
    <t xml:space="preserve">BOX </t>
  </si>
  <si>
    <t>DB2426600425</t>
  </si>
  <si>
    <t xml:space="preserve">Product Name </t>
  </si>
  <si>
    <t xml:space="preserve">TOTAL QTY </t>
  </si>
  <si>
    <t xml:space="preserve">SQRYCF </t>
  </si>
  <si>
    <t>ULTIMA-IC</t>
  </si>
  <si>
    <t>DISPOSABLE INJ/CART</t>
  </si>
  <si>
    <t xml:space="preserve">SDCL 1.75 MM X45 (N) </t>
  </si>
  <si>
    <t>MP611</t>
  </si>
  <si>
    <t>AS-6M</t>
  </si>
  <si>
    <t>AS-6  P+</t>
  </si>
  <si>
    <t>AS-6T</t>
  </si>
  <si>
    <t>AS-6AT</t>
  </si>
  <si>
    <t xml:space="preserve">AS-6Y </t>
  </si>
  <si>
    <t>AC P</t>
  </si>
  <si>
    <t>AS-6D</t>
  </si>
  <si>
    <t xml:space="preserve">AS-6AT </t>
  </si>
  <si>
    <t>AS-6(HD)</t>
  </si>
  <si>
    <t xml:space="preserve">AS-6A </t>
  </si>
  <si>
    <t xml:space="preserve">AS6VP </t>
  </si>
  <si>
    <t>AS-6TD</t>
  </si>
  <si>
    <t>AS-6TDT</t>
  </si>
  <si>
    <t xml:space="preserve"> AS-6DT</t>
  </si>
  <si>
    <t>IPCL</t>
  </si>
  <si>
    <t>IPCLT</t>
  </si>
  <si>
    <t>IPCL-DT</t>
  </si>
  <si>
    <t>EC6125 P+</t>
  </si>
  <si>
    <t>SPH-6</t>
  </si>
  <si>
    <t>UST</t>
  </si>
  <si>
    <t>TDIFFT</t>
  </si>
  <si>
    <t>SDCL</t>
  </si>
  <si>
    <t>MDCL</t>
  </si>
  <si>
    <t xml:space="preserve">IDIFF - R1 </t>
  </si>
  <si>
    <t>IDIFF- P1</t>
  </si>
  <si>
    <t>UAONT</t>
  </si>
  <si>
    <t xml:space="preserve">UAOND  </t>
  </si>
  <si>
    <t>SF65</t>
  </si>
  <si>
    <t>ICLAW</t>
  </si>
  <si>
    <t>SLTD</t>
  </si>
  <si>
    <t>UKIH6Y</t>
  </si>
  <si>
    <t>ANU6 / ANIRIDA RING P+</t>
  </si>
  <si>
    <t>SMART I SERT AURUM 2.4 INJECTOR CARTRIDG</t>
  </si>
  <si>
    <t>FRV 14</t>
  </si>
  <si>
    <t xml:space="preserve">UNA </t>
  </si>
  <si>
    <t>ANI5</t>
  </si>
  <si>
    <t>SMART I SERT AURUM 2.4 INJECTOR CARTRIDG-INJECTR</t>
  </si>
  <si>
    <t xml:space="preserve">ECR 1 </t>
  </si>
  <si>
    <t xml:space="preserve">CARTRIDGE </t>
  </si>
  <si>
    <t>UKIH-T</t>
  </si>
  <si>
    <t>UKIH -D</t>
  </si>
  <si>
    <t>142 P +</t>
  </si>
  <si>
    <t>PH5 P+</t>
  </si>
  <si>
    <t>ICLIP-5</t>
  </si>
  <si>
    <t xml:space="preserve">SAP VALUE </t>
  </si>
  <si>
    <t xml:space="preserve">ACTUAL VALUE </t>
  </si>
  <si>
    <t>Ship to Party 6100007 not defined  for sales area CPPL EX SS</t>
  </si>
  <si>
    <t xml:space="preserve">Order Type </t>
  </si>
  <si>
    <t>YABO</t>
  </si>
  <si>
    <t>CPPL AMC Bund Sa Ord</t>
  </si>
  <si>
    <t>YASO</t>
  </si>
  <si>
    <t>CPPL Asset Sales Ord</t>
  </si>
  <si>
    <t>YBSO</t>
  </si>
  <si>
    <t>CPPL Bund. Sales Ord</t>
  </si>
  <si>
    <t>YCBO</t>
  </si>
  <si>
    <t>CPPL CMC Bund Sal Or</t>
  </si>
  <si>
    <t>YDBO</t>
  </si>
  <si>
    <t>CPPL Dom Bulk Ord</t>
  </si>
  <si>
    <t>YDCR</t>
  </si>
  <si>
    <t>CPPL Dom Credit Requ</t>
  </si>
  <si>
    <t>YDDR</t>
  </si>
  <si>
    <t>CPPL Dom Debit Reque</t>
  </si>
  <si>
    <t>YDEO</t>
  </si>
  <si>
    <t>CPPL Destruction Ord</t>
  </si>
  <si>
    <t>YDRO</t>
  </si>
  <si>
    <t>CPPL Dom Return Orde</t>
  </si>
  <si>
    <t>YDSO</t>
  </si>
  <si>
    <t>CPPL Scrap Sal Order</t>
  </si>
  <si>
    <t>CPPL Domestic Standa</t>
  </si>
  <si>
    <t>Material is not defined for CPPL in TP PH00000314</t>
  </si>
  <si>
    <t>CPPL Export Sales Or</t>
  </si>
  <si>
    <t>YFDO</t>
  </si>
  <si>
    <t>CPPL FOC Dom Order</t>
  </si>
  <si>
    <t>CPPL FOC Exp Order</t>
  </si>
  <si>
    <t>YLFO</t>
  </si>
  <si>
    <t>CPPL Lib Fill-Up KB</t>
  </si>
  <si>
    <t>YLIO</t>
  </si>
  <si>
    <t>CPPL Libr. Issue KE</t>
  </si>
  <si>
    <t>YLPO</t>
  </si>
  <si>
    <t>CPPL Libr. Pickup KA</t>
  </si>
  <si>
    <t>YREO</t>
  </si>
  <si>
    <t>CPPL Replacement Ord</t>
  </si>
  <si>
    <t>YSSO</t>
  </si>
  <si>
    <t>CPPL Serv. Sales Ord</t>
  </si>
  <si>
    <t>CPPL Third Party Ord</t>
  </si>
  <si>
    <t>YTSO</t>
  </si>
  <si>
    <t>CPPL Tender Sales Or</t>
  </si>
  <si>
    <t>MATERIAL IN NOT DEFINED FOR SALES ORG IN CPPL SAP SYSTEM</t>
  </si>
  <si>
    <t>PH - CODE PH00000317 </t>
  </si>
  <si>
    <t>PHENOCAINE PLUS PFS 0.5ML  - TROPICAMIDEPHENYLEPHRINE HYDROCHLORIDE &amp; LIDOCAINE HYDROCHLORIDE INJECTION </t>
  </si>
  <si>
    <t>PH - CODE PH00000325 </t>
  </si>
  <si>
    <t>TRUVISC 5 ML VIAL  : HYDROXYPROPYL METHYLCELLULOSE OPHTHALMIC SOLUTION USP </t>
  </si>
  <si>
    <t xml:space="preserve">SHOW THE DUBLICATE BARCODE IN INVOICE </t>
  </si>
  <si>
    <t>Ship to Party 620007 not defined for sales area CPPL EX SS</t>
  </si>
  <si>
    <t xml:space="preserve">DOMESTIC - CREDIT NOTE </t>
  </si>
  <si>
    <t xml:space="preserve">Return In stock With Reference number make Credit Note </t>
  </si>
  <si>
    <t>ORDER TYPE</t>
  </si>
  <si>
    <t>CPPL DOM RETURN ORDER</t>
  </si>
  <si>
    <t xml:space="preserve">SALES ORGANIZATION </t>
  </si>
  <si>
    <t>CARE4SIGHT SALES ORG</t>
  </si>
  <si>
    <t xml:space="preserve">DISTRIBUTION CHANNEL </t>
  </si>
  <si>
    <t xml:space="preserve">THIRD  PARTY </t>
  </si>
  <si>
    <t xml:space="preserve">DIVISION </t>
  </si>
  <si>
    <t xml:space="preserve">SURGICAL SOLUTIONS </t>
  </si>
  <si>
    <t xml:space="preserve">SALES OFFICE </t>
  </si>
  <si>
    <t xml:space="preserve">CARE4SIGHT DABHASA </t>
  </si>
  <si>
    <t xml:space="preserve">ORDER </t>
  </si>
  <si>
    <t xml:space="preserve">DELIVERY  CHALLAN </t>
  </si>
  <si>
    <t xml:space="preserve"> ORDER NUMBER  TO INVOICE </t>
  </si>
  <si>
    <t xml:space="preserve">EXPORT  - CREDIT NOTE </t>
  </si>
  <si>
    <t>YERO</t>
  </si>
  <si>
    <t xml:space="preserve">CPPL EXPORT  RETURN ORDER </t>
  </si>
  <si>
    <t xml:space="preserve">EXPORT SALES </t>
  </si>
  <si>
    <t xml:space="preserve">ORDER NUMBER  TO INVOICE </t>
  </si>
  <si>
    <t xml:space="preserve">  </t>
  </si>
  <si>
    <t xml:space="preserve">DEBIT  NOTE </t>
  </si>
  <si>
    <t xml:space="preserve">With out Reference Number Make Debit  Note </t>
  </si>
  <si>
    <t>YEDR</t>
  </si>
  <si>
    <t xml:space="preserve">CPPL EXP   DEBIT REQUEST </t>
  </si>
  <si>
    <t xml:space="preserve">Pdf Edit Site Name </t>
  </si>
  <si>
    <t>https://smallpdf.com/pdf-to-word#r=convert-to-word</t>
  </si>
  <si>
    <t>somaiya</t>
  </si>
  <si>
    <t>27AGUPP5518L1ZK</t>
  </si>
  <si>
    <t>TNT</t>
  </si>
  <si>
    <t>29AAACT6649K1ZR</t>
  </si>
  <si>
    <t>ANITA</t>
  </si>
  <si>
    <t>BOMBAX</t>
  </si>
  <si>
    <t>07AARFB8860C1Z8</t>
  </si>
  <si>
    <t>First Flight</t>
  </si>
  <si>
    <t>24AAACF0841R2ZI</t>
  </si>
  <si>
    <t>JAY HIND</t>
  </si>
  <si>
    <t>24BNEPS2637H2ZX</t>
  </si>
  <si>
    <t>BLUE DART </t>
  </si>
  <si>
    <t>JEENA</t>
  </si>
  <si>
    <t>24AAAFJ1721H1ZX</t>
  </si>
  <si>
    <t>AUS CARGO</t>
  </si>
  <si>
    <t>27HIRPS9427R1ZO</t>
  </si>
  <si>
    <t>DELHI PUNJAB CARRIER</t>
  </si>
  <si>
    <t>24AACCD7104K1ZV</t>
  </si>
  <si>
    <t>SHREE MARUTI COURIER SERVICES PVT.LTD.</t>
  </si>
  <si>
    <t>88AABCM9407D1ZS</t>
  </si>
  <si>
    <t>TRACK ON COURIERS PVT. LTD.</t>
  </si>
  <si>
    <t>24AABCC8298E1ZL</t>
  </si>
  <si>
    <t>88AAACD8017H1ZX</t>
  </si>
  <si>
    <t>DTDC EXPRESS LIMITED</t>
  </si>
  <si>
    <t>IOCPL, BARODA USER ID * PASS WORD</t>
  </si>
  <si>
    <t>DELHIVERY LIMITED    (  FEDEX _)</t>
  </si>
  <si>
    <t>E-WAY BILL   All Details</t>
  </si>
  <si>
    <t>Product Name - CGST / SGST 0%</t>
  </si>
  <si>
    <r>
      <rPr>
        <b/>
        <sz val="26"/>
        <color theme="1"/>
        <rFont val="Century"/>
        <charset val="134"/>
      </rPr>
      <t xml:space="preserve">INWARD </t>
    </r>
    <r>
      <rPr>
        <b/>
        <sz val="24"/>
        <color theme="1"/>
        <rFont val="Century"/>
        <charset val="134"/>
      </rPr>
      <t xml:space="preserve">  - Job Work Returns </t>
    </r>
  </si>
  <si>
    <t xml:space="preserve">Job Work Returns </t>
  </si>
  <si>
    <t xml:space="preserve">Vehicle No - in Details </t>
  </si>
  <si>
    <t>Document No</t>
  </si>
  <si>
    <t>STAMP Inward &amp; Outward</t>
  </si>
  <si>
    <t xml:space="preserve">QTY - 2 BOX </t>
  </si>
  <si>
    <t>UNIVERSAL MEDICAP LTD</t>
  </si>
  <si>
    <t xml:space="preserve"> 3 - Choras Siko  - sign che tay aagd </t>
  </si>
  <si>
    <t>GSTIN</t>
  </si>
  <si>
    <t>24AAACU2331D1Z0</t>
  </si>
  <si>
    <t xml:space="preserve">6 -Round Circel Siko - sign nati tay karvano
</t>
  </si>
  <si>
    <t>BHAGWAN PARK</t>
  </si>
  <si>
    <t xml:space="preserve">DASRATH RANOLI ROAD OFF N.H. NO. 8 </t>
  </si>
  <si>
    <t>DASRATH</t>
  </si>
  <si>
    <t>Place</t>
  </si>
  <si>
    <t>BLANKS OF IOL</t>
  </si>
  <si>
    <t xml:space="preserve">Quantity </t>
  </si>
  <si>
    <t xml:space="preserve">Taxable Amont </t>
  </si>
  <si>
    <t xml:space="preserve">Tax Rate </t>
  </si>
  <si>
    <t>0+0+0+</t>
  </si>
  <si>
    <t>Vehicle Doc No &amp; Dt</t>
  </si>
  <si>
    <r>
      <rPr>
        <b/>
        <sz val="26"/>
        <color theme="1"/>
        <rFont val="Century"/>
        <charset val="134"/>
      </rPr>
      <t>OUTWARD - Job Work</t>
    </r>
  </si>
  <si>
    <t>Job Work</t>
  </si>
  <si>
    <t>003/25-26</t>
  </si>
  <si>
    <t>Name</t>
  </si>
  <si>
    <t>Address</t>
  </si>
  <si>
    <t xml:space="preserve">03 BOX </t>
  </si>
  <si>
    <t>GJ06BX3725</t>
  </si>
  <si>
    <t>STO</t>
  </si>
  <si>
    <t>STO - STOCK TRANSFER - BRANCH TO BRANCH</t>
  </si>
  <si>
    <t>For Own Use</t>
  </si>
  <si>
    <t xml:space="preserve">D.NO </t>
  </si>
  <si>
    <t>25*65</t>
  </si>
  <si>
    <t>23*33</t>
  </si>
  <si>
    <t>GSTIN - Care Group</t>
  </si>
  <si>
    <t>Km- 5</t>
  </si>
  <si>
    <t>2*3</t>
  </si>
  <si>
    <t>Conta Care Sight - ID TAX  Invoice</t>
  </si>
  <si>
    <t>3*3</t>
  </si>
  <si>
    <t xml:space="preserve">D.NO / GSTIN IN  Details </t>
  </si>
  <si>
    <t>Product Name - CGST / SGST 6%</t>
  </si>
  <si>
    <t>Qty - Amt</t>
  </si>
  <si>
    <t>Vehicle No</t>
  </si>
  <si>
    <t xml:space="preserve">Export </t>
  </si>
  <si>
    <t>Document Type - Tax Invoice</t>
  </si>
  <si>
    <t>Pin Code -99999</t>
  </si>
  <si>
    <t>1+6</t>
  </si>
  <si>
    <t>CONSIGNEE  NAME ADDRESSS</t>
  </si>
  <si>
    <t>GSTIN - URP</t>
  </si>
  <si>
    <t xml:space="preserve">Product Name - HSN </t>
  </si>
  <si>
    <t xml:space="preserve">CGST / SGST 0 %   Under - LUT </t>
  </si>
  <si>
    <t xml:space="preserve">Transporter - ID - In Details </t>
  </si>
  <si>
    <t xml:space="preserve">Domestic Invoice </t>
  </si>
  <si>
    <t xml:space="preserve"> Transaction type   - Bill To Ship to </t>
  </si>
  <si>
    <t>CONTACARE OPTHALMICS AND DIAGNOSTICS</t>
  </si>
  <si>
    <t>·     Invoice 05 Nos.</t>
  </si>
  <si>
    <t xml:space="preserve">Documents Export </t>
  </si>
  <si>
    <t>·     Packing list 05 Nos.</t>
  </si>
  <si>
    <t xml:space="preserve">Cover letter </t>
  </si>
  <si>
    <t>·     Form SDF.</t>
  </si>
  <si>
    <t xml:space="preserve">Invoice copy  -   4 Custom Invoice
</t>
  </si>
  <si>
    <t xml:space="preserve">·     Photocopy of I.E.C. code no. </t>
  </si>
  <si>
    <t xml:space="preserve">Packing list  - 4 Copy </t>
  </si>
  <si>
    <t>·     Authority letter.</t>
  </si>
  <si>
    <t xml:space="preserve">Scan Copy With Sign - Custom Invoice  &amp; Packing list </t>
  </si>
  <si>
    <t xml:space="preserve">·     Declaration for Airlines.  </t>
  </si>
  <si>
    <t xml:space="preserve">Tax invoice -  Original / Dublicate 
</t>
  </si>
  <si>
    <t>·     Original &amp; Duplicate Copy of TAX EXPORT INVOCIE.</t>
  </si>
  <si>
    <t xml:space="preserve">The Assistant Commissioner of Customs  -  Auothority letter </t>
  </si>
  <si>
    <t>·     Certificate of Analysis</t>
  </si>
  <si>
    <t>EVD - Export Value Declaration</t>
  </si>
  <si>
    <t>. Please mention Commodity on AWB as per Invoice.</t>
  </si>
  <si>
    <t>Non - Hazardous Cargo</t>
  </si>
  <si>
    <t>Scomet Declaratiom/ to whomsoever it</t>
  </si>
  <si>
    <t>Declaration</t>
  </si>
  <si>
    <t>Quality Control Department Certificate Of Analysis ( Batch Wise )</t>
  </si>
  <si>
    <t>Product Permission ( Item Wise )</t>
  </si>
  <si>
    <t xml:space="preserve">AD- Authorized Dealer Code </t>
  </si>
  <si>
    <t xml:space="preserve">Import - Export Code Certificate </t>
  </si>
  <si>
    <t>Acknowledgment Letter Of Undertaking</t>
  </si>
  <si>
    <t>Manufacturing Licence</t>
  </si>
  <si>
    <t xml:space="preserve">COD Export Document Submission </t>
  </si>
  <si>
    <t xml:space="preserve">TO bank </t>
  </si>
  <si>
    <t xml:space="preserve">Custom INV </t>
  </si>
  <si>
    <t xml:space="preserve">Packing List </t>
  </si>
  <si>
    <t>Shipping Bill</t>
  </si>
  <si>
    <t>Air - Way Bill</t>
  </si>
  <si>
    <t xml:space="preserve">Domestic Account Submission </t>
  </si>
  <si>
    <t xml:space="preserve">Original Copy All </t>
  </si>
  <si>
    <t xml:space="preserve">Triplicate All Copy </t>
  </si>
  <si>
    <t xml:space="preserve">Third Paty Original Side </t>
  </si>
  <si>
    <t xml:space="preserve">Extra Separate </t>
  </si>
  <si>
    <t xml:space="preserve">TO RECORD </t>
  </si>
  <si>
    <t xml:space="preserve">TAX Invoice </t>
  </si>
  <si>
    <t>Performa</t>
  </si>
  <si>
    <t>ACCOUNT SUBMISSION</t>
  </si>
  <si>
    <t>INVOICE  - 1</t>
  </si>
  <si>
    <t>PACKING LIST -2</t>
  </si>
  <si>
    <t xml:space="preserve">AIR WAY BILL - 2 </t>
  </si>
  <si>
    <t>SHIPPING BILL -2</t>
  </si>
  <si>
    <t>NAV TAX INVOICE  - 1</t>
  </si>
  <si>
    <t>PERFORMA - 1</t>
  </si>
  <si>
    <t>TRANSPORTER ID</t>
  </si>
  <si>
    <t>VEHICLE NUMBER</t>
  </si>
  <si>
    <t>GJ06BT7836</t>
  </si>
  <si>
    <t>GJ06FC2200</t>
  </si>
  <si>
    <t>GJ06BT8425</t>
  </si>
  <si>
    <t>MH12LD4592</t>
  </si>
  <si>
    <t>MH15EP1183</t>
  </si>
  <si>
    <t>ERTIGA</t>
  </si>
  <si>
    <t>GJ01KL8679</t>
  </si>
  <si>
    <t>INOVA</t>
  </si>
  <si>
    <t>MH15DS2572</t>
  </si>
  <si>
    <t>9 TO 10</t>
  </si>
  <si>
    <t>GJ06JE2030</t>
  </si>
  <si>
    <t xml:space="preserve">INNOVA </t>
  </si>
  <si>
    <t>10 TO 11</t>
  </si>
  <si>
    <t>11 TO  12</t>
  </si>
  <si>
    <t>GJ06FK2200</t>
  </si>
  <si>
    <t>12 TO 1</t>
  </si>
  <si>
    <t>GJ06JQ4052</t>
  </si>
  <si>
    <t>1 TO 2</t>
  </si>
  <si>
    <t>GJ06JQ7744</t>
  </si>
  <si>
    <t>KWID</t>
  </si>
  <si>
    <t>2 TO 3</t>
  </si>
  <si>
    <t>GJ06JM4020</t>
  </si>
  <si>
    <t>3 TO 4</t>
  </si>
  <si>
    <t>MH02BZ7251</t>
  </si>
  <si>
    <t xml:space="preserve"> 4 TO 5</t>
  </si>
  <si>
    <t>GJ05JD2328</t>
  </si>
  <si>
    <t>GJ06PD2030</t>
  </si>
  <si>
    <t>BLOCK NO. 310/E, ROOM NO.01,BESIDE OF GOODS LIFT,</t>
  </si>
  <si>
    <t xml:space="preserve"> TAL PADRA </t>
  </si>
  <si>
    <t>94647 - Employee ID</t>
  </si>
  <si>
    <t>LOTUS IN SAREE</t>
  </si>
  <si>
    <t>Lotus in Thirunavaya (Saree)</t>
  </si>
  <si>
    <t>\\10.10.2.205\software data</t>
  </si>
  <si>
    <t>\\10.10.2.143</t>
  </si>
  <si>
    <t>https://www.dailyepaper.in/times-of-india-epaper-pdf-aug-2024/</t>
  </si>
  <si>
    <t>http://103.108.206.124:8081/</t>
  </si>
  <si>
    <t xml:space="preserve">Saral </t>
  </si>
  <si>
    <t>OFFERNATION</t>
  </si>
  <si>
    <t>vala@999</t>
  </si>
  <si>
    <t>valagautam20</t>
  </si>
  <si>
    <t xml:space="preserve">EXPORT MAKE DOCUMENTS </t>
  </si>
  <si>
    <t xml:space="preserve">    PROFORMA INVOICE</t>
  </si>
  <si>
    <t>PACKING LIST</t>
  </si>
  <si>
    <t xml:space="preserve">CUSTOM INVOICE </t>
  </si>
  <si>
    <t>EXPORT VALUE DECLARATION</t>
  </si>
  <si>
    <t>EVD</t>
  </si>
  <si>
    <t>NON HAZARDOUS CARGO</t>
  </si>
  <si>
    <t>SCOMENT DECLARATION</t>
  </si>
  <si>
    <t>THE DEPUTY COMMISSIONER OF CUSTOMS</t>
  </si>
  <si>
    <t xml:space="preserve">HSN  CODE </t>
  </si>
  <si>
    <t xml:space="preserve">Intraocular lens </t>
  </si>
  <si>
    <t>IGST</t>
  </si>
  <si>
    <t>CGST</t>
  </si>
  <si>
    <t>SGST</t>
  </si>
  <si>
    <t>Disposable Injector</t>
  </si>
  <si>
    <t>Cartridge</t>
  </si>
  <si>
    <t>CGST / SGST</t>
  </si>
  <si>
    <t>6 % / 6 %</t>
  </si>
  <si>
    <t>SOLWAX</t>
  </si>
  <si>
    <t>9 % / 9%</t>
  </si>
  <si>
    <t>Blank of  IOL</t>
  </si>
  <si>
    <t>PO NO</t>
  </si>
  <si>
    <t xml:space="preserve">STOCK TRANSFER - DC </t>
  </si>
  <si>
    <t>Short- Cut  /NVF01</t>
  </si>
  <si>
    <t>DHL Process</t>
  </si>
  <si>
    <t xml:space="preserve">UPS </t>
  </si>
  <si>
    <t xml:space="preserve">Freedom Opthalmic Pvt Ltd </t>
  </si>
  <si>
    <t>VF01  - ENTRE - DC NO</t>
  </si>
  <si>
    <t xml:space="preserve">Courier Shipment </t>
  </si>
  <si>
    <t xml:space="preserve">Value Qty PDF To Match </t>
  </si>
  <si>
    <t>BOX Size</t>
  </si>
  <si>
    <t>VA01 - Order Type - ZDSS</t>
  </si>
  <si>
    <t>VF012</t>
  </si>
  <si>
    <t>38 * 38 * 38</t>
  </si>
  <si>
    <t>( cms)</t>
  </si>
  <si>
    <t>Sales Organization</t>
  </si>
  <si>
    <t xml:space="preserve">CGPL </t>
  </si>
  <si>
    <t>Care Group</t>
  </si>
  <si>
    <t>E-WAY Bill - For Own Use</t>
  </si>
  <si>
    <t xml:space="preserve">Dimension </t>
  </si>
  <si>
    <t>Distribution Channel</t>
  </si>
  <si>
    <t xml:space="preserve">Division </t>
  </si>
  <si>
    <t>VL03N</t>
  </si>
  <si>
    <t xml:space="preserve">TO  PRINT DC COPY </t>
  </si>
  <si>
    <t>Weight =</t>
  </si>
  <si>
    <t>Total Dimwnsion</t>
  </si>
  <si>
    <t xml:space="preserve">Total Weight Calculation </t>
  </si>
  <si>
    <t>GJ01</t>
  </si>
  <si>
    <t>CODE - PO TO ORDER PROCESS</t>
  </si>
  <si>
    <t xml:space="preserve">Weight </t>
  </si>
  <si>
    <t>VA01</t>
  </si>
  <si>
    <t xml:space="preserve">Order Processing </t>
  </si>
  <si>
    <t>=</t>
  </si>
  <si>
    <t>10.97 Kgs</t>
  </si>
  <si>
    <t xml:space="preserve">Total Qty </t>
  </si>
  <si>
    <t xml:space="preserve">Sold Party / Ship to Party In Details </t>
  </si>
  <si>
    <t>VA02</t>
  </si>
  <si>
    <t>Order Change Process</t>
  </si>
  <si>
    <t xml:space="preserve">Cust Reference Po No  In Details </t>
  </si>
  <si>
    <t>VA03</t>
  </si>
  <si>
    <t>Display</t>
  </si>
  <si>
    <t>DHL = 8.5/1000 = 0.009</t>
  </si>
  <si>
    <t xml:space="preserve">Cust Red Date  In Details </t>
  </si>
  <si>
    <t xml:space="preserve">Cargo Shipment </t>
  </si>
  <si>
    <t xml:space="preserve">Item Overview - Material </t>
  </si>
  <si>
    <t>Delivery  Challan</t>
  </si>
  <si>
    <t>Item Discription - Order Qty - Amt</t>
  </si>
  <si>
    <t>VL02N</t>
  </si>
  <si>
    <t xml:space="preserve">Changing </t>
  </si>
  <si>
    <t xml:space="preserve">58* 46* 46 </t>
  </si>
  <si>
    <t xml:space="preserve">Display Header Details </t>
  </si>
  <si>
    <t xml:space="preserve">Status / Object Status </t>
  </si>
  <si>
    <t>APRD - Delivery Approval Back</t>
  </si>
  <si>
    <t xml:space="preserve">Save </t>
  </si>
  <si>
    <t>VF01</t>
  </si>
  <si>
    <t>Create Invoice</t>
  </si>
  <si>
    <t>GOVERNMENT RATE SHOW  RATE * ORDER QTY -12%+=</t>
  </si>
  <si>
    <t>VF02</t>
  </si>
  <si>
    <t>VF03</t>
  </si>
  <si>
    <t xml:space="preserve">Display </t>
  </si>
  <si>
    <t xml:space="preserve">VA02- change Sales Order </t>
  </si>
  <si>
    <t>MMBE</t>
  </si>
  <si>
    <t>Stock Overview</t>
  </si>
  <si>
    <t>Order DB011001623</t>
  </si>
  <si>
    <t>BP</t>
  </si>
  <si>
    <t xml:space="preserve">Business Partner </t>
  </si>
  <si>
    <t>Sales Document / ISSUE Output to</t>
  </si>
  <si>
    <t>Print Peview- Print</t>
  </si>
  <si>
    <t xml:space="preserve">GST </t>
  </si>
  <si>
    <t>ZSDBIP</t>
  </si>
  <si>
    <t xml:space="preserve">Code For Invoice </t>
  </si>
  <si>
    <t xml:space="preserve">Then DC </t>
  </si>
  <si>
    <t xml:space="preserve">VF01 - Rntre Delivery No- </t>
  </si>
  <si>
    <t>Save No - 9150330796 Value Check</t>
  </si>
  <si>
    <t>VF02 - Change Billing Document</t>
  </si>
  <si>
    <t>ISSUE TO Output - Check item - rate amt</t>
  </si>
  <si>
    <t xml:space="preserve">Then ZEINV-COCKPIT -Cockpit for Einvoice report </t>
  </si>
  <si>
    <t>Plant -Gj02</t>
  </si>
  <si>
    <t xml:space="preserve">Billing Document </t>
  </si>
  <si>
    <t xml:space="preserve">Billing Date </t>
  </si>
  <si>
    <t>IRN Bill Pending Docs</t>
  </si>
  <si>
    <t>Generate IRN No</t>
  </si>
  <si>
    <t xml:space="preserve">QR Barcode Create </t>
  </si>
  <si>
    <t>E-WAY BILL Create</t>
  </si>
  <si>
    <t>D-NO</t>
  </si>
  <si>
    <t>Tax Invoice -Address - Billed To - Shipped To</t>
  </si>
  <si>
    <t>Product Name -Qty - Amt</t>
  </si>
  <si>
    <t>CGST/SGST/ IGST</t>
  </si>
  <si>
    <t xml:space="preserve">Transport ID - Blue Dart </t>
  </si>
  <si>
    <t>Save Tax Invoice  &amp; Order Execution Sheet</t>
  </si>
  <si>
    <t xml:space="preserve">CODE </t>
  </si>
  <si>
    <t>CONTACARE OPHTHALMICS AND</t>
  </si>
  <si>
    <t>DIAGNOSTICS</t>
  </si>
  <si>
    <t>TAL. PADRA,DIST. VADODARA</t>
  </si>
  <si>
    <t>BLOCK NO.310-B/D/E, VILLAGE. DABHASA,</t>
  </si>
  <si>
    <t xml:space="preserve">INDIA </t>
  </si>
  <si>
    <t>BESIDE OF GOODS LIFT</t>
  </si>
  <si>
    <t>VILLAGE -DABHASA ,TAL -PADRA,</t>
  </si>
  <si>
    <t>BLOCK NO 310/E , ROOM NO 1,</t>
  </si>
  <si>
    <t>DIST-VADODARA-391440</t>
  </si>
  <si>
    <t>IDIFF-P1</t>
  </si>
  <si>
    <t>AS- 6 P+</t>
  </si>
  <si>
    <t>AS-6 (HD)</t>
  </si>
  <si>
    <t>UAON</t>
  </si>
  <si>
    <t>AS-6 DT</t>
  </si>
  <si>
    <t>ANU6</t>
  </si>
  <si>
    <t>INJECTR</t>
  </si>
  <si>
    <t>DISPOSABLE INJ/CART 1.85 MM (IPCL)#</t>
  </si>
  <si>
    <t>/NZSDBIP</t>
  </si>
  <si>
    <t xml:space="preserve">ITEM NAME </t>
  </si>
  <si>
    <t xml:space="preserve">COD-GP-25-00735-SUNWAYS-TAX INVOICE </t>
  </si>
  <si>
    <t xml:space="preserve">10 ML PLASTIC BOTTLE </t>
  </si>
  <si>
    <t xml:space="preserve">COD-GP-25-00736-DEXA CARE - TAX INVOICE </t>
  </si>
  <si>
    <t xml:space="preserve">FLODABLE  HYDROPHOBIC INTRAOCULAR LENS   - SPECTRA PHOB </t>
  </si>
  <si>
    <t>10ML VIALS BLISTER</t>
  </si>
  <si>
    <t xml:space="preserve">COD-GP-25-00737-AADPRI OPHTHALMIC-TAX INVOICE </t>
  </si>
  <si>
    <t>INTRAOCULAR LENS</t>
  </si>
  <si>
    <t>10ML VIALS BLISTER LID</t>
  </si>
  <si>
    <t xml:space="preserve">COD-GP-25-00738-AADPRI OPHTHALMIC-TAX INVOICE </t>
  </si>
  <si>
    <t xml:space="preserve">10MM BROMOBUTYL RUBBER STOPPER </t>
  </si>
  <si>
    <t>13 mm Boromobutyl Rubber Stopper</t>
  </si>
  <si>
    <t>13 mm Flip off seal - Blue</t>
  </si>
  <si>
    <t>13 mm Glass Vial - 2 mL</t>
  </si>
  <si>
    <t>20ML PLASTIC SYRINGE WITH 21G NEEDLE</t>
  </si>
  <si>
    <t>20MM GREY RUBBER STOPPER STOPPER</t>
  </si>
  <si>
    <t xml:space="preserve">23 G CANNULA POUCH PACK </t>
  </si>
  <si>
    <t>23G   CANNULA (PRICON) (WITH CE)</t>
  </si>
  <si>
    <t xml:space="preserve">250 GLASS BOTTLE </t>
  </si>
  <si>
    <t xml:space="preserve">250 ML PLASTIC BOTTLE </t>
  </si>
  <si>
    <t>27 G CANNULA POUCH PACK ( WITH CE )</t>
  </si>
  <si>
    <t xml:space="preserve">3 ML GLASS SYRINGE  PFS </t>
  </si>
  <si>
    <t xml:space="preserve">3 ML PFS BLISTER </t>
  </si>
  <si>
    <t xml:space="preserve">INTRAOCULAR LENS </t>
  </si>
  <si>
    <t>3 ML PP Syringe with Plunger tips</t>
  </si>
  <si>
    <t>32 mm Bromobutyl Rubber Stopper</t>
  </si>
  <si>
    <t>32 mm Flip off Seal Blue</t>
  </si>
  <si>
    <t xml:space="preserve">3ML GLASS  SYRINGE </t>
  </si>
  <si>
    <t xml:space="preserve">3ML PLASTIC SYRINGE </t>
  </si>
  <si>
    <t xml:space="preserve">4QUIN PFS 0.5ML </t>
  </si>
  <si>
    <t>5 PLY CORRUGATED BOX - 16.75''X16.75''X16.75</t>
  </si>
  <si>
    <t>5 PLY CORRUGATED BOX - 9.69"X6.73''X6.73'' WITH PTN</t>
  </si>
  <si>
    <t xml:space="preserve">AUTOMATIC  STEAM STERILIZER DOUBLE DOOR  810 LTR </t>
  </si>
  <si>
    <t>AUTOMATIC EYE DROP 3PC FILLING AND SCREWING MACHINE (120 BOTTLE/MINUTE INCL CHANGE PART)</t>
  </si>
  <si>
    <t>AUTOMATIC LINEAR BOTTLE WASHING MACHINE 30 BOTTLE/MINUTE INCL CHANGE PART</t>
  </si>
  <si>
    <t>AUTOMATIC LINEAR VIAL WASHING MACHINE -(120 VIAL/MINUTE INCL CHANGE PART)</t>
  </si>
  <si>
    <t>AUTOMATIC SIX HEAD BOTTLE FILLING AND STOPERING MACHINE 30 BOTTLE/MINUTE INCL CHANGE PART</t>
  </si>
  <si>
    <t xml:space="preserve">AUTOMATIC STEAM STERILIZER DOUBLE DOOR 1458 LTR </t>
  </si>
  <si>
    <t xml:space="preserve">AUTOMATIC STEAM STERILIZER DOUBLE DOOR 648 LTR </t>
  </si>
  <si>
    <t xml:space="preserve">BALANCED SALT SOLUTION 500 ML </t>
  </si>
  <si>
    <t>Barrel tips for 3 ML PP</t>
  </si>
  <si>
    <t>BENZALKONIUM CHLORIDE SOLUTION 50%</t>
  </si>
  <si>
    <t>BIOTAS ONE 8 MG PFS 6 ML : SODIUM HYALURONA STERILE INJECTION  8 MG / ML</t>
  </si>
  <si>
    <t>BLUE  TOD - 1ML (1X5)</t>
  </si>
  <si>
    <t>BLUE RHEXIS  PFS 1.0 ML</t>
  </si>
  <si>
    <t>BLUE RHEXIS  PFS 1.0 ML  WITH CANNULA</t>
  </si>
  <si>
    <t xml:space="preserve">BLUE RHEXIS P. F SYRINGE 1 ML WITH CANNULA </t>
  </si>
  <si>
    <t>BLUE RHEXIS SINGLE VIAL</t>
  </si>
  <si>
    <t>BLUE RHEXIS SINGLE VIAL - INJECTION TRYPAN BLUE DYE 0.06% W/V</t>
  </si>
  <si>
    <t xml:space="preserve">BLUERHEXIS 1 ML </t>
  </si>
  <si>
    <t xml:space="preserve">BLUERHEXIS 1 ML (1 X 5)  - TRYPAN BLUE SOLUTION </t>
  </si>
  <si>
    <t xml:space="preserve">BLUERHEXIS PFS  1.0 ML </t>
  </si>
  <si>
    <t>BORIC ACID</t>
  </si>
  <si>
    <t>CARBACARE 1 ML ( 1 X 1 )</t>
  </si>
  <si>
    <t>CARBATOD  - 1ML (1X10)</t>
  </si>
  <si>
    <t>CARBOMER 974</t>
  </si>
  <si>
    <t>CARELUB 10 ML EYEDROPS : CARBOXYMETHYLCELLULOSE SODIUM EYE DROPS I.P</t>
  </si>
  <si>
    <t>CARELUB DS  10 ML EYEDROPS</t>
  </si>
  <si>
    <t xml:space="preserve">CAREPRED EYE DROPS 10 ML </t>
  </si>
  <si>
    <t>CONTACARE MPS  100 ML (1X2)</t>
  </si>
  <si>
    <t>CONTACARE MPS 360 ML (1X2)</t>
  </si>
  <si>
    <t>CONTASAOL BALANCED SALT SOLUTION 100 ML PP</t>
  </si>
  <si>
    <t>CONTASAOL BALANCED SALT SOLUTION 250 ML  PP</t>
  </si>
  <si>
    <t>CONTASAOL BALANCED SALT SOLUTION 250 ML GLASS</t>
  </si>
  <si>
    <t>CONTASAOL BALANCED SALT SOLUTION 500 ML ( PP) (1*500ML)</t>
  </si>
  <si>
    <r>
      <rPr>
        <b/>
        <sz val="26"/>
        <color theme="1"/>
        <rFont val="Baskerville Old Face"/>
        <charset val="134"/>
      </rPr>
      <t xml:space="preserve">CONTASIL 1000 ( 10 ML ) : SILICONE OIL (STERILE LIQUID 1000 </t>
    </r>
    <r>
      <rPr>
        <sz val="26"/>
        <color indexed="8"/>
        <rFont val="Baskerville Old Face"/>
        <charset val="134"/>
      </rPr>
      <t>CST)</t>
    </r>
  </si>
  <si>
    <t xml:space="preserve">CONTASIL 5000 - 10 ML PFS </t>
  </si>
  <si>
    <t xml:space="preserve">CONTASOL (BSS)- GLASS (1* 500 ML )  - STERILE OPHTHALMIC IRRIGATING SOLUTION ( BALANCED SALT SOLUTION ) </t>
  </si>
  <si>
    <t xml:space="preserve">CONTASOL (BSS)- PP (1* 100  ML ) - STERILE OPHTHALMIC IRRIGATING SOLUTION ( BALANCED SALT SOLUTION ) </t>
  </si>
  <si>
    <t xml:space="preserve">CONTASOL (BSS)- PP (1* 250 ML )  - STERILE OPHTHALMIC IRRIGATING SOLUTION ( BALANCED SALT SOLUTION ) </t>
  </si>
  <si>
    <t xml:space="preserve">CONTASOL (BSS)- PP (1* 500 ML )  - STERILE OPHTHALMIC IRRIGATING SOLUTION ( BALANCED SALT SOLUTION ) </t>
  </si>
  <si>
    <t>CONTASOL BALANCED SALT SOLUTION 250 ML GLASS</t>
  </si>
  <si>
    <t>CONTASOL BALANCED SALT SOLUTION 500 ML (PP)</t>
  </si>
  <si>
    <t>CONTASOL BALANCED SALT SOLUTION 500 ML GLASS</t>
  </si>
  <si>
    <t>CONTASOL BSS PLUS 20ML - STERILE OPHTHALMIC  IRRIGATING SOLUTION (BALANCED SALT SOLUTION PLUS</t>
  </si>
  <si>
    <t>CONTASOL BSS PLUS 480ML: - STERILE OPHTHALMIC
IRRIGATING SOLUTION (BALANCED SALT SOLUTION PLUS )</t>
  </si>
  <si>
    <t>CONTASOL H   BALANCED SALT SOLUTION 500 ML PP ( 1 * 500ML )</t>
  </si>
  <si>
    <t xml:space="preserve">CONTASOL KIT OF BALANCE SALT SOLUTION PLUS PART I  480 ML </t>
  </si>
  <si>
    <t>CONTASOL KIT OF BALANCE SALT SOLUTION PLUS PART II 20 ML</t>
  </si>
  <si>
    <t>CONTASOL PLUS KIT OF BSS 20 ML ( PART- II )</t>
  </si>
  <si>
    <t>CONTASOL PLUS KIT OF BSS 480 ML ( PART- I )</t>
  </si>
  <si>
    <t>CONTASOL(BSS)-GLASS(1*250ML)  - STERILE OPHTHALMIC
IRRIGATING SOLUTION (BALANCED SALT SOLUTION )</t>
  </si>
  <si>
    <t>CORRUGATED BOX :373X260X206MM</t>
  </si>
  <si>
    <t xml:space="preserve">D BLUE 1 ML </t>
  </si>
  <si>
    <t>D CHOL 1 ML</t>
  </si>
  <si>
    <t>DEXTROSE ANHYDROUS</t>
  </si>
  <si>
    <t>DHYAL 1.4 % PFS 1 ML</t>
  </si>
  <si>
    <t xml:space="preserve">D-HYAL 1.8 % P.F SYRINGE 1 ML </t>
  </si>
  <si>
    <t>DISODIUM HYDROGEN ORTHOPHOSPHATE DODECAHYDRATE</t>
  </si>
  <si>
    <t xml:space="preserve">DRY HEAT STERILIZER </t>
  </si>
  <si>
    <t xml:space="preserve">DVISCO  PFS 2 ML </t>
  </si>
  <si>
    <t xml:space="preserve">DVISCO PFS 3 ML </t>
  </si>
  <si>
    <t xml:space="preserve">EQUASOL BALANCED SALT SOLUTION 500 ML - (PLASTIC) - STERILE OPHTHALMIC IRRIGATING SOLUTION ( BALANCED SALT SOLUTION ) </t>
  </si>
  <si>
    <t>EQUASOL BSS 500 ML ( PLASTIC) : STERILE OPHTHALMIC
IRRIGATING SOLUTION (BALANCED SALT SOLUTION )</t>
  </si>
  <si>
    <t>EYE GEL 2.0 % P.F SYRINGES 2.0 ML (1X10)</t>
  </si>
  <si>
    <t xml:space="preserve">EYE GEL 2.0 % P.F SYRINGES 2.0 ML WITH CANNULA </t>
  </si>
  <si>
    <t xml:space="preserve">EYE GEL PLUS 2.4 % P.F SYRINGES 2.0 ML  WITH CANNULA </t>
  </si>
  <si>
    <t>EYE RHEX 1 ML (1X5)</t>
  </si>
  <si>
    <t>FILTER PAPER 46 X 57 MM</t>
  </si>
  <si>
    <t>FLAT POUCH 7.5X 5 CM</t>
  </si>
  <si>
    <t>FLORESTS (1X100)</t>
  </si>
  <si>
    <t>FLUO  SYRIPS (1*300) - FLUORESCEIN SODIUM OPHTHALMIC STRIPS USP</t>
  </si>
  <si>
    <t>FLUO STRIPS #100</t>
  </si>
  <si>
    <t>FLUO STRIPS #100 - FLUORESCEIN SODIUM OPHTHALMIC STRIPS USP</t>
  </si>
  <si>
    <t>FLUO STRIPS(1*300) - FLUORESCEIN SODIUM OPHTHALMIC  STRIPS USP</t>
  </si>
  <si>
    <t>FLUORESCEIN INJ USP 10 % ( 5ML*1)</t>
  </si>
  <si>
    <t>FLUORESCEIN INJ USP 25 % ( 2ML*1)</t>
  </si>
  <si>
    <t>FLUORESCEIN INJ.USP 25 2ML</t>
  </si>
  <si>
    <t>FLUORESCEIN INJ.USP-25%(2ML*12)</t>
  </si>
  <si>
    <t>FLUORESCEIN SODIUM STRIPS ( STERILE)</t>
  </si>
  <si>
    <t>FOSSA VACUUM PUMP FO0015A00CHSXX PUMP</t>
  </si>
  <si>
    <t>GLUTASOL 20ML: - STERILE OPHTHALMIC IRRIGATING</t>
  </si>
  <si>
    <t>GLUTATHIONE DI-SULFIDE</t>
  </si>
  <si>
    <t xml:space="preserve">GONIOVISC 2.5 % 15 ML </t>
  </si>
  <si>
    <t xml:space="preserve">HANGER PLASTIC 250 ML </t>
  </si>
  <si>
    <t>HI GLO STRIPS ( 1 X 100)</t>
  </si>
  <si>
    <t xml:space="preserve">HILURON 1.0 % P.F SYRINGES 1 ML  WITH CANNULA </t>
  </si>
  <si>
    <t xml:space="preserve">HILURON 1.0 % P.F. SYRINGES 1 ML  </t>
  </si>
  <si>
    <t xml:space="preserve">HILURON 1.4 %  PFS 1 ML TRANSPAPRENT LABEL </t>
  </si>
  <si>
    <t xml:space="preserve">HILURON 1.4 % P.F. SYRINGES 1.0ML  </t>
  </si>
  <si>
    <t>HILURON 1.4 % P.F. SYRINGES 1.0ML    -SODIUM HYALURONATE OPHTHALMIC SOLUTION</t>
  </si>
  <si>
    <t xml:space="preserve">HILURON 1.4 % P.F. SYRINGES 1.0ML  WITH CANNULA </t>
  </si>
  <si>
    <t xml:space="preserve">HILURON 1.6 % P.F SYRINGES 1.0 ML </t>
  </si>
  <si>
    <t xml:space="preserve">HILURON 1.8 % P.F. SYRINGES 1.0ML : SODIUM HYALURONATE OPHTHALMIC SOLUTION </t>
  </si>
  <si>
    <t xml:space="preserve">HILURON 1.8 % P.F. SYRINGES 1.0ML  WITH CANNULA </t>
  </si>
  <si>
    <t xml:space="preserve">HILURON 3.0 % P.F. SYRINGES 1.0ML  : SODIUM HYALURONATE OPHTHALMIC SOLUTION WITH CANNULA </t>
  </si>
  <si>
    <t xml:space="preserve">HILURON 3.0 % P.F. SYRINGES 1.0ML  WITH CANNULA </t>
  </si>
  <si>
    <t>HPMC E4M</t>
  </si>
  <si>
    <t xml:space="preserve">HUNGER 100 ML BOTTLE </t>
  </si>
  <si>
    <t xml:space="preserve">HYALVISC 8 MG PFS 6 ML : SODIUM HYALURONATE STERILE INJECTION 8 MG / ML </t>
  </si>
  <si>
    <t xml:space="preserve">HYDROXYPROPYL  METHYLCELLULOSE OPHTHALMIC SOLUTION 5 ML VIAL </t>
  </si>
  <si>
    <t xml:space="preserve">HYDROXYPROPYL METHYLCELLULOSE OPHTHALMIC SOLUTION USP 2%,  2 ML PFS </t>
  </si>
  <si>
    <t xml:space="preserve">HYDROXYPROPYL METHYLCELLULOSE OPHTHALMIC SOLUTION USP 2%,  5 ML VIAL </t>
  </si>
  <si>
    <t xml:space="preserve">HYLOJECT 1.4 PFS 1 ML </t>
  </si>
  <si>
    <t>HYLUCOAT PREFILLED SYRINGE 1.0 ML :</t>
  </si>
  <si>
    <t>HYLUCOAT PREFILLED SYRINGE 1.0 ML  WITH CANNUL</t>
  </si>
  <si>
    <t>HYPROSOL 5 ML - HYPROMELLOSE OPHTHALMIC SOLUTION USP</t>
  </si>
  <si>
    <t>HYTASONE 8 MG PFS 6 ML  : SODIUM HYALURONATE STERILE INJECTION 8 MG / ML</t>
  </si>
  <si>
    <t>INTASOL PP BALANCED SALT SOLUTION 500 ML</t>
  </si>
  <si>
    <t xml:space="preserve">INTASOL PP BALANCED SALT SOLUTION 500ML - STERILE OPHTHALMIC  IRRIGATING SOLUTION (BALANCED SALT SOL </t>
  </si>
  <si>
    <t>INTAVISC PF 3 ML : HYDROXYPROPYL METHYLCELLLOSE
OPHTHALMIC SOLUTION USP</t>
  </si>
  <si>
    <t>LISSAMINE GREEN # 100</t>
  </si>
  <si>
    <t xml:space="preserve">MAYOVISC 8 MG PFS 6 ML </t>
  </si>
  <si>
    <t>MD5 Calcium Chloride IP</t>
  </si>
  <si>
    <t>MD5 Sodium Acetate IP</t>
  </si>
  <si>
    <t>MD5 Sodium Citrate IP</t>
  </si>
  <si>
    <t>MD9 POLY</t>
  </si>
  <si>
    <t>MD9 Polydimethylsiloxane IP 1000 CST</t>
  </si>
  <si>
    <t>MD9 SODIUM HYALURONATE BP</t>
  </si>
  <si>
    <t>MD9 Sodium Hyaluronate BP</t>
  </si>
  <si>
    <t>MOCARE GEL EYE DROPS 5 ML  - MOXIFLOXACIN HCL EYE DROPS 0.5% W/V</t>
  </si>
  <si>
    <t>MOCARE LP EYE DROPS - 5 ML</t>
  </si>
  <si>
    <t>MOCARE PFS 1 ML</t>
  </si>
  <si>
    <t>MOCARE V - 1.0 ML</t>
  </si>
  <si>
    <t>MOCARE V - 1.0 ML VIAL (1X5)</t>
  </si>
  <si>
    <t>MOCARE-PFS-1ML</t>
  </si>
  <si>
    <t>MOXIFLOXACIN OPHTHALMIC SOLUTION USP 0.5 % 1 ML</t>
  </si>
  <si>
    <t>NEEDLE 21 G</t>
  </si>
  <si>
    <t xml:space="preserve">NEPACON 5 ML EYE DROPS  : NEPAFENAC OPHTHALMIC SUSPENSION 0.1 % W/V </t>
  </si>
  <si>
    <t>NEPAFENAC</t>
  </si>
  <si>
    <t>OPHTHALMIC IRRIGATING SOLUTION (BALANCED SALT SOL</t>
  </si>
  <si>
    <t>ORTHOLON 0.8 % - 6 ML WITH NEEDLE</t>
  </si>
  <si>
    <t xml:space="preserve">ORTHOLON 2.0 % 2 ML WITH CANNULA </t>
  </si>
  <si>
    <t>OSMIUM 5</t>
  </si>
  <si>
    <t xml:space="preserve">OSTEO ONE PFS 6ML  - SODIUM HYALURONATE STERILE INJECTION 8 MG / ML </t>
  </si>
  <si>
    <t>Paper Pouch 10 X 26 CM</t>
  </si>
  <si>
    <t>Paper Pouch 7.5 X 26 CM</t>
  </si>
  <si>
    <t xml:space="preserve">PFS TRYPAN BLUE WITH CANNULA </t>
  </si>
  <si>
    <t>PLAN POUCH ROLLS</t>
  </si>
  <si>
    <t xml:space="preserve">PLUNGER ROD FOR 3 ML </t>
  </si>
  <si>
    <t>POLYTHYLENE GLYCOL 400 NF</t>
  </si>
  <si>
    <t>POUCH 100X260 MM</t>
  </si>
  <si>
    <t>POUCH 75 X150 MM</t>
  </si>
  <si>
    <t>POUCH 75 X260 MM</t>
  </si>
  <si>
    <t xml:space="preserve">PREDNISOLONE ACETATE OPH SOL USP 1 % W/V </t>
  </si>
  <si>
    <t>ROSE BENGAL (1*100)</t>
  </si>
  <si>
    <t xml:space="preserve">ROTARY VIAL WASHING MACHINE 80 VIAL/ MINUTE </t>
  </si>
  <si>
    <t>SOLUTION (BALANCED SALT SOLUTION PLUS)</t>
  </si>
  <si>
    <t>STEBILIZED OXYCHLORO COMPLEX</t>
  </si>
  <si>
    <t>SURGI BLUE 1 ML</t>
  </si>
  <si>
    <t xml:space="preserve">SYNOONE 6 ML  - SODIUM HYALURONATE STERILE INJECTION 8 MG/ ML </t>
  </si>
  <si>
    <t xml:space="preserve">TACARIX PREFILLED SYRINGE 1.0 ML </t>
  </si>
  <si>
    <t>TEAR STRIPS (1*100)</t>
  </si>
  <si>
    <t xml:space="preserve">TECNO BLUE 1 ML </t>
  </si>
  <si>
    <t xml:space="preserve">TECNO VISC 2 ML </t>
  </si>
  <si>
    <t>TROPICARE PLUS EYE DROPS 5 ML</t>
  </si>
  <si>
    <t xml:space="preserve">TRY BLUE 1 ML VIAL :  TRYPAN BLUE SOLUTION </t>
  </si>
  <si>
    <t xml:space="preserve">TRYPAN BLUE 1 ML VIALS </t>
  </si>
  <si>
    <t>TWEEN–80(POLYSORBATE-80)</t>
  </si>
  <si>
    <t xml:space="preserve">TYVEK LID FOR 03 ML PFS BLISTER </t>
  </si>
  <si>
    <t xml:space="preserve">ULTRAWET EYE DROP 10 ML - POLYETHYLENE GLYCOL 400 &amp; PROPYLENE GLYCOL EYE DROPS </t>
  </si>
  <si>
    <t xml:space="preserve">USOL BSS 250ML (PLASTIC) - STERILE OPHTHALMIC
IRRIGATING SOLUTION (BALANCED SALT SOLUTION ) </t>
  </si>
  <si>
    <t>USOL BSS 500ML (GLASS) - STERILE OPHTHALMIC IRRIGATING
SOLUTION (BALANCED SALT SOLUTION )</t>
  </si>
  <si>
    <t>USOL BSS 500ML (PLASTIC): - STERILE OPHTHALMIC IRRIGATING SOLUTION (BALANCED SALT SOLUTION )</t>
  </si>
  <si>
    <t xml:space="preserve">UVISC 5 ML VIALS </t>
  </si>
  <si>
    <t>VIAL FILLING AND RUBBER STOPPERING (120 VIAL/MINUTE INCL CHANGE PART)</t>
  </si>
  <si>
    <t>VIAL SEALING MACHINE (120 VIAL/MINUTE INCL CHANGE PART)</t>
  </si>
  <si>
    <t>VIAL STERILIZING AND  DEPYROGENATING TUNNEL MACHINE ( 120 VIAL/MINUTE )</t>
  </si>
  <si>
    <t>VISCOLON - 5 ML VIAL - HYDROXYPROPYL METHYCELLOSE OPHTHALMIC SOLUTION USP</t>
  </si>
  <si>
    <t>VISCOLON 2.4% P.F SYRINGE 2 ML</t>
  </si>
  <si>
    <t xml:space="preserve">VISCOLON 2.4% P.F SYRINGE 2 ML WITH CANNULA </t>
  </si>
  <si>
    <t xml:space="preserve">VISCOLON P.F SYRINGE 2 ML </t>
  </si>
  <si>
    <t xml:space="preserve">VISCOLON P.F SYRINGE 2 ML - HYDROXYPROPYL
METHYLCELLLOSE OPHTHALMIC SOLUTION USP WITH CANNULA </t>
  </si>
  <si>
    <t>VISCOLON P.F SYRINGE 2 ML WITH CANNULA</t>
  </si>
  <si>
    <t>VISCOLON P.F SYRINGE 3 ML</t>
  </si>
  <si>
    <t>VISCOLON VIALS 5 ML</t>
  </si>
  <si>
    <t>VISCOSAFE 14 ( SODIUM HYALURONATE )</t>
  </si>
  <si>
    <t>VISCOSAFE 14 (SODIUM HYALURONATE) - SODIUM
HYALURONATE OPHTHALMIC SOLUTION 14 MG/ML</t>
  </si>
  <si>
    <t>VISCOSAFE CD PFS 1 ML : CHONDROITIN SULFATE SODIUM
AND SODIUM HYALURONATE OPHTHALMIC SOLUTION</t>
  </si>
  <si>
    <t>VISTA BLUE RHEXIS 1 ML ( 1X5)</t>
  </si>
  <si>
    <t>VISTA GLO 1#100</t>
  </si>
  <si>
    <t>VISTA GLO 1#300</t>
  </si>
  <si>
    <t>VISTAVISC HA 1.4% 1 ML</t>
  </si>
  <si>
    <t>INTAVISC 5 ML VIALS  : HYDROXYPROPYL METHYLCELLLOSE
OPHTHALMIC SOLUTION USP</t>
  </si>
  <si>
    <t xml:space="preserve">500 ML PLASTIC BOTTLE </t>
  </si>
  <si>
    <t xml:space="preserve">SODIUM DI HYDROGEN PHOSPHATE DI HYDRATE </t>
  </si>
  <si>
    <t xml:space="preserve">SODIUM METABISULPHITE </t>
  </si>
  <si>
    <t xml:space="preserve">HYDROXYPROPYL METHYLCELLULOSE OPHTHALMIC SOLUTION USP 2%,  3 ML PFS </t>
  </si>
  <si>
    <t>MOCARE GEL EYE DROPS 5 ML  - MOXIFLOXACIN EYE DROPS IP</t>
  </si>
  <si>
    <t xml:space="preserve">VISCOLON PLUS P.F SYRINGES 2ML WITH CANNULA </t>
  </si>
  <si>
    <t xml:space="preserve">HYPROSOL 5 ML </t>
  </si>
  <si>
    <t xml:space="preserve">DVISCO PLUS PFS 2 ML </t>
  </si>
  <si>
    <t xml:space="preserve">PHENYLEPHRINE HCL </t>
  </si>
  <si>
    <t xml:space="preserve">TRYPAN BLUE 1 ML PFS WITH CANNULA </t>
  </si>
  <si>
    <t>VISCOLON P.F SYRINGE 3 ML  - HPMC ( HYDROXY PROPYL METHYL CELLULOSE ) 2 % W/V</t>
  </si>
  <si>
    <t xml:space="preserve"> MOCARE PFS 1 ML - 
INJECTION INTRACAMERAL MOXIFLOXACIN 0.5% W/V</t>
  </si>
  <si>
    <t>I GLO STRIPS (  1 X 100 )</t>
  </si>
  <si>
    <t>FLUO  STRIPS (1*100) - FLUORESCEIN SODIUM OPHTHALMIC STRIPS USP</t>
  </si>
  <si>
    <t xml:space="preserve">TRUVISC PFS 3 ML : HYPROMELLOSE OPHTHALMIC SOLUTION UPS </t>
  </si>
  <si>
    <t xml:space="preserve">VISCOLON P.F SYRINGE 3 ML (P) : HYDROXYPROPYL METHYLCELLLOSE OPHTHALMIC SOLUTION USP </t>
  </si>
  <si>
    <t>VISTA GLO STRIPS (1X10)</t>
  </si>
  <si>
    <t>ORTHOLON 1.6 % - 2ML WITH CANNULA</t>
  </si>
  <si>
    <t>ORTHOLON 2.3 % 3ML WITH NEEDLE</t>
  </si>
  <si>
    <t>FLUORESCEIN INJ USP 25 % ( 2ML*12)- FLUORESCEIN INJECTION USP 25 % W/V</t>
  </si>
  <si>
    <t>FLUORESCEIN INJ USP 10 % ( 5ML*12) - FLUORESCEIN INJECTION USP 10 % W/V</t>
  </si>
  <si>
    <t xml:space="preserve">VISCOLON VIALS 5 ML - HPMC ( HYDROXY PROPYL METHYL CELLULOSE ) 2 &amp; W/V - 5 ML VIAL </t>
  </si>
  <si>
    <t xml:space="preserve">DEXAMETHASONE SODIUM PHOSPHATE </t>
  </si>
  <si>
    <t>LOTEPREDNOL ETABONATE</t>
  </si>
  <si>
    <t>POVIDONE K = 30</t>
  </si>
  <si>
    <t>PREDNISOLONE ACETATE</t>
  </si>
  <si>
    <t>SORBITOL 70 %</t>
  </si>
  <si>
    <t xml:space="preserve">SODIUM HYALURONATE INJECTION 0.8 % PFS 6 ML </t>
  </si>
  <si>
    <t>OSTEO VISC  PFS 6ML - SODIUM HYALURONATE STERILE  INJECTION 8 MG / ML</t>
  </si>
  <si>
    <t xml:space="preserve">ARTROVISC PFS 6 ML : SODIUM HYALURONATE STERILE INJECTION 8 MG / ML </t>
  </si>
  <si>
    <t>CARELUB DS-10ML EYEDROPS : CARBOXYMETHYLCELLULOSE EYE DROPS IP 1% W/V</t>
  </si>
  <si>
    <t>NEPACON 5ML EYE DROPS : NEPAFENAC OPHTHALMIC SUSPENSION 0.1 % W/V</t>
  </si>
  <si>
    <t>ZYONATE 1.4 % 1 ML : SODIUM HYALURONATE OPHTHALMIC SOLUTION</t>
  </si>
  <si>
    <t xml:space="preserve">HYDROPHOBIC MONOFOCAL YELLOW BLANKS </t>
  </si>
  <si>
    <t>FOLDABLE INTRA OCULAR LENSES MODEL SQRYCF</t>
  </si>
  <si>
    <t xml:space="preserve">SDCL CARTRIDGE </t>
  </si>
  <si>
    <t xml:space="preserve">HYLOJECT 1.4 PFS 1 ML  - SODIUM HYALURONATE OPHTHALMIC SOLUTION </t>
  </si>
  <si>
    <t>D CHOL 1ML : CARBACHOL INTRAOCULAR SOLUTION USP</t>
  </si>
  <si>
    <t>FILTER PAPER NO 41 ( 1 X 100 )</t>
  </si>
  <si>
    <t xml:space="preserve">BLUE RHEXIS  PFS 1.0 ML : TRYPAN BLUE SOLUTION </t>
  </si>
  <si>
    <t>VISCOSAFE 14  (SODIUM HYALURONATE) : SODIUM HYALURONATE OPHTHALMIC SOLUTION 14 MG/ML</t>
  </si>
  <si>
    <t xml:space="preserve">FLUO STRIPS (1*100) : FLUORESCEIN SODIUM OPHTHALMIC STRIPS USP </t>
  </si>
  <si>
    <t xml:space="preserve">FLUORESCEIN INJ USP 10 % ( 5ML*1 ) : FLUORESCEIN INJECTION USP 10 % W/V </t>
  </si>
  <si>
    <t xml:space="preserve">MOXAKEY 1 ML VIAL : MOXIFLOXACIN OPHTHALMIC SOLUTION USP </t>
  </si>
  <si>
    <t xml:space="preserve">BLUE RHEXIS ( 1 X 5 ) : TRYPAN BLUE SOLUTION TRYPAN BLUE SOLUTION </t>
  </si>
  <si>
    <t xml:space="preserve">CHONDROITIN SULFATE SODIUM AND SODIUM HYALURONATE OPHTHALMIC WITH CANNULA </t>
  </si>
  <si>
    <t xml:space="preserve">CARBACARE-1*1 - CARBACHOL INTRAOCULAR SOLUTION USP </t>
  </si>
  <si>
    <t xml:space="preserve">One Drive ID &amp; Password </t>
  </si>
  <si>
    <t>Gautamvala777@outlook.com</t>
  </si>
  <si>
    <t xml:space="preserve">Password </t>
  </si>
  <si>
    <t>valagautam777</t>
  </si>
  <si>
    <t>480901520430</t>
  </si>
  <si>
    <t>Demant Account</t>
  </si>
  <si>
    <t>1208180091295541</t>
  </si>
  <si>
    <t>55BMUG</t>
  </si>
  <si>
    <t>CDSL INDIA CAS LOGIN</t>
  </si>
  <si>
    <t xml:space="preserve">PAN NUMBER </t>
  </si>
  <si>
    <t>pheta8780@gmail.com</t>
  </si>
  <si>
    <t>.borsad@12</t>
  </si>
  <si>
    <t>UAN NO -102082654402</t>
  </si>
  <si>
    <t>Vala@890</t>
  </si>
  <si>
    <t>SBI PASSWORD STATEMENT - VALA17052001</t>
  </si>
  <si>
    <t>HDFCBANK PASSWORD STATEMENT - 292024930</t>
  </si>
  <si>
    <t>BANK OF INDIA PASSWORD STATEMENT - gaut1705</t>
  </si>
  <si>
    <t>Order Process</t>
  </si>
  <si>
    <t xml:space="preserve">ORDER TYPR </t>
  </si>
  <si>
    <t>CPPL Domestic Sta</t>
  </si>
  <si>
    <t xml:space="preserve">Third Party Order </t>
  </si>
  <si>
    <t xml:space="preserve">CREDIT NOTE </t>
  </si>
  <si>
    <t xml:space="preserve">CPPL Dom Return Order </t>
  </si>
  <si>
    <t xml:space="preserve">Create With reference Invoice Number Third Party </t>
  </si>
  <si>
    <t>Divison</t>
  </si>
  <si>
    <t xml:space="preserve">CPPL </t>
  </si>
  <si>
    <t>CPPL Dom Return Billing</t>
  </si>
  <si>
    <t xml:space="preserve">Government Order </t>
  </si>
  <si>
    <t>CPPL Export Debit Note</t>
  </si>
  <si>
    <t xml:space="preserve">YEDR </t>
  </si>
  <si>
    <t xml:space="preserve">CPPL Exp Debit Reque </t>
  </si>
  <si>
    <t>TD</t>
  </si>
  <si>
    <t xml:space="preserve">TENDER </t>
  </si>
  <si>
    <t xml:space="preserve">Export Sales </t>
  </si>
  <si>
    <t xml:space="preserve">Order And Invoice Not Make Dc </t>
  </si>
  <si>
    <t xml:space="preserve">Export  Order </t>
  </si>
  <si>
    <t xml:space="preserve">Domestic   Order </t>
  </si>
  <si>
    <t xml:space="preserve">CPPL Export Sales Or </t>
  </si>
  <si>
    <t xml:space="preserve">CPPL Domestic Standard </t>
  </si>
  <si>
    <t xml:space="preserve">Domestic Std Sales </t>
  </si>
  <si>
    <t xml:space="preserve">Scrape Order </t>
  </si>
  <si>
    <t xml:space="preserve">Return Invoice in STOCK SAP SYSETM CODE </t>
  </si>
  <si>
    <t xml:space="preserve">Common </t>
  </si>
  <si>
    <r>
      <rPr>
        <b/>
        <sz val="16"/>
        <color rgb="FFFF0000"/>
        <rFont val="Calibri"/>
        <charset val="134"/>
      </rPr>
      <t xml:space="preserve"> VA01 </t>
    </r>
    <r>
      <rPr>
        <b/>
        <sz val="16"/>
        <color theme="1"/>
        <rFont val="Calibri"/>
        <charset val="134"/>
      </rPr>
      <t xml:space="preserve">- Order Process in line item add item category </t>
    </r>
  </si>
  <si>
    <t xml:space="preserve">Order than invoice </t>
  </si>
  <si>
    <r>
      <rPr>
        <b/>
        <sz val="16"/>
        <color rgb="FFFF0000"/>
        <rFont val="Calibri"/>
        <charset val="134"/>
      </rPr>
      <t>ZTAD</t>
    </r>
    <r>
      <rPr>
        <b/>
        <sz val="14"/>
        <color theme="1"/>
        <rFont val="72 Light"/>
        <charset val="134"/>
      </rPr>
      <t xml:space="preserve"> -Service Item Select then after save Order.</t>
    </r>
  </si>
  <si>
    <t xml:space="preserve">YDSB </t>
  </si>
  <si>
    <t xml:space="preserve">EXPORT  CREDIT NOTE </t>
  </si>
  <si>
    <t>CPPL Export Return O</t>
  </si>
  <si>
    <t xml:space="preserve">With Reference </t>
  </si>
  <si>
    <t>Order  than  Credit Note in VF01</t>
  </si>
  <si>
    <t xml:space="preserve">Export  FOC  Order </t>
  </si>
  <si>
    <t>CPPL  FOC  Exp Order</t>
  </si>
  <si>
    <t>PURCHASE ORDER</t>
  </si>
  <si>
    <t>DISPATCH</t>
  </si>
  <si>
    <t>DISPATCH  CARE4SIGHT PHARMA PRIVATE LIMITED TO  SIR T GENERAL HOSPITAL - BHAVNAGAR  - 18.02.2026</t>
  </si>
  <si>
    <t>DISPATCH CARE4SIGHT PHARMA PRIVATE LIMITED TO  AADPRI OPHTHALMIC COMPANY-  A'BAD  DT - 12.02.2026</t>
  </si>
  <si>
    <t>TAX - INVOICE NAME </t>
  </si>
  <si>
    <t>DB2426600550 - CPPL TO CGSS - T.INV  - DT - 18.02.2026</t>
  </si>
  <si>
    <t>DB2426600548 - CPPL TO THIRD PARTY -  INTAS PHARMACEUTICALS LTD - T.INV -  DT - 17.02.2026</t>
  </si>
  <si>
    <r>
      <rPr>
        <sz val="12"/>
        <color rgb="FF222222"/>
        <rFont val="Arial"/>
        <charset val="134"/>
      </rPr>
      <t>DB2426600551</t>
    </r>
    <r>
      <rPr>
        <b/>
        <sz val="12"/>
        <color rgb="FF222222"/>
        <rFont val="Arial"/>
        <charset val="134"/>
      </rPr>
      <t> - CPPL TO ( SCRAPE ) - AZTEC RECYCLING HUB PRIVATE LIMITED A'BAD - T.INV DT-  18.02.2026</t>
    </r>
  </si>
  <si>
    <t>DB2426600552 - CPPL TO GOV - SIR T GENERAL HOSPITAL  - BHAVNAGAR - T.INV - DT  18.02.2026</t>
  </si>
  <si>
    <t>DB2426600324 - CPPL TO  ( CHITRAKUT) -  CGSS - TAX INVOICE - DT - 25.10.2025</t>
  </si>
  <si>
    <t>DB2426600298 - ( CANCEL) -  CPPL TO CGSS - TAX INVOICE- DT - 04.10.2025</t>
  </si>
  <si>
    <t>DB2426600519  - ( CANCEL ) -  CPPL TO THIRD PARTY   - ENTOD PHARMACEUTICALS LTD  -  T.INV DT - 02.02.2025</t>
  </si>
  <si>
    <t>EXPORT - INVOICE NAME  </t>
  </si>
  <si>
    <r>
      <rPr>
        <sz val="12"/>
        <color rgb="FF222222"/>
        <rFont val="Arial"/>
        <charset val="134"/>
      </rPr>
      <t>EX2426600138</t>
    </r>
    <r>
      <rPr>
        <b/>
        <sz val="13.5"/>
        <color rgb="FF222222"/>
        <rFont val="Comic Sans MS"/>
        <charset val="134"/>
      </rPr>
      <t> -  </t>
    </r>
    <r>
      <rPr>
        <sz val="12"/>
        <color rgb="FF222222"/>
        <rFont val="Arial"/>
        <charset val="134"/>
      </rPr>
      <t>EYEOL UK LIMITED</t>
    </r>
    <r>
      <rPr>
        <b/>
        <sz val="13.5"/>
        <color rgb="FF222222"/>
        <rFont val="Comic Sans MS"/>
        <charset val="134"/>
      </rPr>
      <t> TO </t>
    </r>
    <r>
      <rPr>
        <sz val="12"/>
        <color rgb="FF222222"/>
        <rFont val="Arial"/>
        <charset val="134"/>
      </rPr>
      <t>VISION MEDICA 2000 SA</t>
    </r>
    <r>
      <rPr>
        <b/>
        <sz val="13.5"/>
        <color rgb="FF222222"/>
        <rFont val="Comic Sans MS"/>
        <charset val="134"/>
      </rPr>
      <t>  - 84 BOXES </t>
    </r>
  </si>
  <si>
    <r>
      <rPr>
        <sz val="12"/>
        <color rgb="FF222222"/>
        <rFont val="Arial"/>
        <charset val="134"/>
      </rPr>
      <t>EX2426600138</t>
    </r>
    <r>
      <rPr>
        <b/>
        <sz val="13.5"/>
        <color rgb="FF222222"/>
        <rFont val="Comic Sans MS"/>
        <charset val="134"/>
      </rPr>
      <t>- P.LIST</t>
    </r>
  </si>
  <si>
    <t>FOLDER NAME  </t>
  </si>
  <si>
    <t>CPPL  INV TO CGSS </t>
  </si>
  <si>
    <t>CPPL  INV TO SIR T GENERAL HOSPITAL </t>
  </si>
  <si>
    <t>DB2426600548 INTAS PHARMACEUTICALS LTD DT 17.02.2026 - 942 BOXES </t>
  </si>
  <si>
    <r>
      <rPr>
        <sz val="12"/>
        <color rgb="FF222222"/>
        <rFont val="Arial"/>
        <charset val="134"/>
      </rPr>
      <t>CPPL INV   DB2426600548   TO   INTAS PHARMACEUTICALS LTD   </t>
    </r>
    <r>
      <rPr>
        <sz val="21"/>
        <color rgb="FF1F1F1F"/>
        <rFont val="Arial"/>
        <charset val="134"/>
      </rPr>
      <t>A'BAD</t>
    </r>
  </si>
  <si>
    <t>ORDER EXECUTION SHEET NAME  </t>
  </si>
  <si>
    <t>Order - FD02000120 - EYEOL UK LIMITED to OOO KOM SPAN </t>
  </si>
  <si>
    <t>A'BAD</t>
  </si>
  <si>
    <t>E-MAIL DOMESTIC</t>
  </si>
  <si>
    <r>
      <rPr>
        <sz val="12"/>
        <color rgb="FF222222"/>
        <rFont val="Arial"/>
        <charset val="134"/>
      </rPr>
      <t>DISPATCH OF CPPL , DABHASA TO CGSS PVT LTD. DABHASA DT</t>
    </r>
    <r>
      <rPr>
        <b/>
        <sz val="12"/>
        <color rgb="FF222222"/>
        <rFont val="Arial"/>
        <charset val="134"/>
      </rPr>
      <t> 18.02.2026</t>
    </r>
  </si>
  <si>
    <t>emmanuel.christian@caregroupiol.com</t>
  </si>
  <si>
    <t>yusaf.macwan@caregroupiol.com</t>
  </si>
  <si>
    <t>ketan.kotharia@caregroupiol.com</t>
  </si>
  <si>
    <t>rajendra.sutar@caregroupiol.com</t>
  </si>
  <si>
    <t>paresh.parmar@caregroupiol.com</t>
  </si>
  <si>
    <t>cod.fg@caregroupiol.com</t>
  </si>
  <si>
    <t>aliasgar.dholkawala@caregroupiol.com</t>
  </si>
  <si>
    <t>shailendra.singh@caregroupiol.com</t>
  </si>
  <si>
    <t>balvant.padhiyar@caregroupiol.com</t>
  </si>
  <si>
    <t>prashant.jani@caregroupiol.com</t>
  </si>
  <si>
    <t>Dear Emubhai / Yusufbhai </t>
  </si>
  <si>
    <t>I have attached the invoice copy for your reference.</t>
  </si>
  <si>
    <t>Invoice Number </t>
  </si>
  <si>
    <t>DB2426600550</t>
  </si>
  <si>
    <t>Regards </t>
  </si>
  <si>
    <t>Gautam</t>
  </si>
  <si>
    <t xml:space="preserve">EXPORT NUMBER </t>
  </si>
  <si>
    <t xml:space="preserve">BILL TO </t>
  </si>
  <si>
    <t>SHIP TO</t>
  </si>
  <si>
    <t>EX2426600001</t>
  </si>
  <si>
    <t>Medical Choice</t>
  </si>
  <si>
    <t>EX2426600002</t>
  </si>
  <si>
    <t>EX2426600003</t>
  </si>
  <si>
    <t>EX2426600004</t>
  </si>
  <si>
    <t>EXCIMED SDN BHD</t>
  </si>
  <si>
    <t>EX2426600005</t>
  </si>
  <si>
    <t>INNOVACIONES NOVEDOSAS UNIVERSALES</t>
  </si>
  <si>
    <t>EX2426600006</t>
  </si>
  <si>
    <t>EX2426600007</t>
  </si>
  <si>
    <t xml:space="preserve">Site Name </t>
  </si>
  <si>
    <t>https://www.resumeground.com</t>
  </si>
  <si>
    <t>ASSISTANT</t>
  </si>
  <si>
    <t>SARAL SITE</t>
  </si>
  <si>
    <t>http://103.76.141.153:8081</t>
  </si>
  <si>
    <t xml:space="preserve">Care Group  - SALARY SLIP </t>
  </si>
  <si>
    <t>http://103.76.141.153:8082</t>
  </si>
  <si>
    <t xml:space="preserve">CPPL - SALARY SLIP </t>
  </si>
</sst>
</file>

<file path=xl/styles.xml><?xml version="1.0" encoding="utf-8"?>
<styleSheet xmlns="http://schemas.openxmlformats.org/spreadsheetml/2006/main">
  <numFmts count="3">
    <numFmt numFmtId="164" formatCode="dd\-mmm"/>
    <numFmt numFmtId="169" formatCode="mmm\-yy"/>
    <numFmt numFmtId="170" formatCode="&quot;₹&quot;\ #,##0.00"/>
  </numFmts>
  <fonts count="213">
    <font>
      <sz val="10"/>
      <name val="Arial"/>
      <charset val="134"/>
    </font>
    <font>
      <sz val="9"/>
      <name val="Arial"/>
      <charset val="134"/>
    </font>
    <font>
      <sz val="10"/>
      <name val="Perpetua"/>
      <charset val="134"/>
      <scheme val="minor"/>
    </font>
    <font>
      <sz val="11"/>
      <color rgb="FF242323"/>
      <name val="Arial"/>
      <charset val="134"/>
    </font>
    <font>
      <sz val="10"/>
      <color theme="1"/>
      <name val="Perpetua"/>
      <charset val="134"/>
      <scheme val="minor"/>
    </font>
    <font>
      <b/>
      <u/>
      <sz val="13.5"/>
      <color rgb="FF222222"/>
      <name val="Comic Sans MS"/>
      <charset val="134"/>
    </font>
    <font>
      <sz val="12"/>
      <color rgb="FF222222"/>
      <name val="Arial"/>
      <charset val="134"/>
    </font>
    <font>
      <sz val="21"/>
      <color rgb="FF1F1F1F"/>
      <name val="Arial"/>
      <charset val="134"/>
    </font>
    <font>
      <u/>
      <sz val="11"/>
      <color theme="10"/>
      <name val="Calibri"/>
      <charset val="134"/>
    </font>
    <font>
      <b/>
      <u/>
      <sz val="12"/>
      <color rgb="FF222222"/>
      <name val="Verdana"/>
      <charset val="134"/>
    </font>
    <font>
      <b/>
      <sz val="12"/>
      <color rgb="FF999999"/>
      <name val="Arial"/>
      <charset val="134"/>
    </font>
    <font>
      <sz val="11"/>
      <color theme="1"/>
      <name val="Perpetua"/>
      <charset val="134"/>
      <scheme val="minor"/>
    </font>
    <font>
      <b/>
      <sz val="24"/>
      <color theme="1"/>
      <name val="Arial Narrow"/>
      <charset val="134"/>
    </font>
    <font>
      <b/>
      <sz val="16"/>
      <color theme="1"/>
      <name val="Century"/>
      <charset val="134"/>
    </font>
    <font>
      <sz val="16"/>
      <color theme="1"/>
      <name val="Century"/>
      <charset val="134"/>
    </font>
    <font>
      <b/>
      <sz val="16"/>
      <color rgb="FF000000"/>
      <name val="Century"/>
      <charset val="134"/>
    </font>
    <font>
      <b/>
      <sz val="24"/>
      <color theme="1"/>
      <name val="Perpetua"/>
      <charset val="134"/>
      <scheme val="minor"/>
    </font>
    <font>
      <sz val="20"/>
      <color theme="1"/>
      <name val="Perpetua"/>
      <charset val="134"/>
      <scheme val="minor"/>
    </font>
    <font>
      <b/>
      <sz val="20"/>
      <color theme="1"/>
      <name val="Perpetua"/>
      <charset val="134"/>
      <scheme val="minor"/>
    </font>
    <font>
      <b/>
      <sz val="14"/>
      <color theme="1"/>
      <name val="Perpetua"/>
      <charset val="134"/>
      <scheme val="minor"/>
    </font>
    <font>
      <b/>
      <sz val="12"/>
      <color theme="1"/>
      <name val="Perpetua"/>
      <charset val="134"/>
      <scheme val="minor"/>
    </font>
    <font>
      <b/>
      <sz val="16"/>
      <color theme="1"/>
      <name val="Perpetua"/>
      <charset val="134"/>
      <scheme val="minor"/>
    </font>
    <font>
      <b/>
      <sz val="20"/>
      <name val="Arial"/>
      <charset val="134"/>
    </font>
    <font>
      <sz val="20"/>
      <name val="Arial"/>
      <charset val="134"/>
    </font>
    <font>
      <u/>
      <sz val="11"/>
      <color rgb="FF0000FF"/>
      <name val="Perpetua"/>
      <charset val="134"/>
      <scheme val="minor"/>
    </font>
    <font>
      <b/>
      <sz val="14"/>
      <name val="Arial"/>
      <charset val="134"/>
    </font>
    <font>
      <b/>
      <sz val="18"/>
      <name val="Arial"/>
      <charset val="134"/>
    </font>
    <font>
      <sz val="16"/>
      <name val="Arial"/>
      <charset val="134"/>
    </font>
    <font>
      <b/>
      <sz val="14"/>
      <color rgb="FF000000"/>
      <name val="Calibri"/>
      <charset val="134"/>
    </font>
    <font>
      <sz val="14"/>
      <name val="Arial"/>
      <charset val="134"/>
    </font>
    <font>
      <sz val="22"/>
      <name val="Arial"/>
      <charset val="134"/>
    </font>
    <font>
      <b/>
      <sz val="10"/>
      <name val="Candara Light"/>
      <charset val="134"/>
    </font>
    <font>
      <b/>
      <sz val="20"/>
      <name val="Candara Light"/>
      <charset val="134"/>
    </font>
    <font>
      <b/>
      <sz val="26"/>
      <name val="Arial"/>
      <charset val="134"/>
    </font>
    <font>
      <b/>
      <sz val="48"/>
      <name val="Bahnschrift Light SemiCondensed"/>
      <charset val="134"/>
    </font>
    <font>
      <b/>
      <sz val="20"/>
      <color theme="1"/>
      <name val="Arial"/>
      <charset val="134"/>
    </font>
    <font>
      <b/>
      <sz val="26"/>
      <color theme="1"/>
      <name val="Baskerville Old Face"/>
      <charset val="134"/>
    </font>
    <font>
      <b/>
      <sz val="26"/>
      <color theme="1"/>
      <name val="Perpetua"/>
      <charset val="134"/>
      <scheme val="minor"/>
    </font>
    <font>
      <b/>
      <sz val="48"/>
      <color theme="1"/>
      <name val="Arial"/>
      <charset val="134"/>
    </font>
    <font>
      <b/>
      <sz val="24"/>
      <name val="Arial"/>
      <charset val="134"/>
    </font>
    <font>
      <b/>
      <sz val="12"/>
      <color theme="1"/>
      <name val="72 Black"/>
      <charset val="134"/>
    </font>
    <font>
      <b/>
      <sz val="12"/>
      <color theme="1"/>
      <name val="Arial"/>
      <charset val="134"/>
    </font>
    <font>
      <b/>
      <sz val="26"/>
      <color rgb="FF000000"/>
      <name val="Baskerville Old Face"/>
      <charset val="134"/>
    </font>
    <font>
      <b/>
      <sz val="36"/>
      <color theme="1"/>
      <name val="Perpetua"/>
      <charset val="134"/>
      <scheme val="minor"/>
    </font>
    <font>
      <sz val="26"/>
      <name val="Arial"/>
      <charset val="134"/>
    </font>
    <font>
      <b/>
      <sz val="20"/>
      <color theme="1"/>
      <name val="72 Monospace"/>
      <charset val="134"/>
    </font>
    <font>
      <sz val="14"/>
      <color theme="1"/>
      <name val="Perpetua"/>
      <charset val="134"/>
      <scheme val="minor"/>
    </font>
    <font>
      <b/>
      <sz val="14"/>
      <color theme="9" tint="-0.499984740745262"/>
      <name val="Perpetua"/>
      <charset val="134"/>
      <scheme val="minor"/>
    </font>
    <font>
      <b/>
      <sz val="26"/>
      <color rgb="FFFF0000"/>
      <name val="Perpetua"/>
      <charset val="134"/>
      <scheme val="minor"/>
    </font>
    <font>
      <sz val="12"/>
      <name val="Arial"/>
      <charset val="134"/>
    </font>
    <font>
      <b/>
      <sz val="24"/>
      <name val="Bahnschrift SemiLight"/>
      <charset val="134"/>
    </font>
    <font>
      <sz val="16"/>
      <color theme="1"/>
      <name val="Perpetua"/>
      <charset val="134"/>
      <scheme val="minor"/>
    </font>
    <font>
      <sz val="16"/>
      <name val="Verdana"/>
      <charset val="134"/>
    </font>
    <font>
      <b/>
      <u/>
      <sz val="16"/>
      <color rgb="FF0000FF"/>
      <name val="Perpetua"/>
      <charset val="134"/>
      <scheme val="minor"/>
    </font>
    <font>
      <b/>
      <sz val="16"/>
      <name val="Verdana"/>
      <charset val="134"/>
    </font>
    <font>
      <b/>
      <sz val="28"/>
      <color theme="1"/>
      <name val="Perpetua"/>
      <charset val="134"/>
      <scheme val="minor"/>
    </font>
    <font>
      <b/>
      <sz val="16"/>
      <color indexed="12"/>
      <name val="Verdana"/>
      <charset val="134"/>
    </font>
    <font>
      <b/>
      <sz val="16"/>
      <color rgb="FFFF0000"/>
      <name val="Perpetua"/>
      <charset val="134"/>
      <scheme val="minor"/>
    </font>
    <font>
      <b/>
      <sz val="12"/>
      <name val="Segoe UI Variable Small Light"/>
      <charset val="134"/>
    </font>
    <font>
      <sz val="12"/>
      <color theme="1"/>
      <name val="Perpetua"/>
      <charset val="134"/>
      <scheme val="minor"/>
    </font>
    <font>
      <b/>
      <sz val="22"/>
      <color theme="1"/>
      <name val="Bradley Hand ITC"/>
      <charset val="134"/>
    </font>
    <font>
      <b/>
      <sz val="22"/>
      <color theme="1"/>
      <name val="Perpetua"/>
      <charset val="134"/>
      <scheme val="minor"/>
    </font>
    <font>
      <b/>
      <sz val="18"/>
      <color theme="1"/>
      <name val="Perpetua"/>
      <charset val="134"/>
      <scheme val="minor"/>
    </font>
    <font>
      <b/>
      <sz val="24"/>
      <color theme="1"/>
      <name val="Century"/>
      <charset val="134"/>
    </font>
    <font>
      <b/>
      <sz val="16"/>
      <color theme="1"/>
      <name val="Arial"/>
      <charset val="134"/>
    </font>
    <font>
      <b/>
      <sz val="14"/>
      <color theme="1"/>
      <name val="Verdana"/>
      <charset val="134"/>
    </font>
    <font>
      <b/>
      <sz val="16"/>
      <color theme="1"/>
      <name val="Verdana"/>
      <charset val="134"/>
    </font>
    <font>
      <b/>
      <sz val="16"/>
      <name val="Arial"/>
      <charset val="134"/>
    </font>
    <font>
      <u/>
      <sz val="18"/>
      <color rgb="FF0000FF"/>
      <name val="Perpetua"/>
      <charset val="134"/>
      <scheme val="minor"/>
    </font>
    <font>
      <sz val="15"/>
      <name val="Arial"/>
      <charset val="134"/>
    </font>
    <font>
      <b/>
      <sz val="15"/>
      <name val="Arial"/>
      <charset val="134"/>
    </font>
    <font>
      <sz val="15"/>
      <color rgb="FFFFFFFF"/>
      <name val="Arial"/>
      <charset val="134"/>
    </font>
    <font>
      <b/>
      <sz val="22"/>
      <color theme="0"/>
      <name val="Arial"/>
      <charset val="134"/>
    </font>
    <font>
      <b/>
      <sz val="28"/>
      <color rgb="FFFF0000"/>
      <name val="Arial"/>
      <charset val="134"/>
    </font>
    <font>
      <b/>
      <sz val="10"/>
      <name val="Arial"/>
      <charset val="134"/>
    </font>
    <font>
      <b/>
      <sz val="72"/>
      <name val="Arial"/>
      <charset val="134"/>
    </font>
    <font>
      <b/>
      <sz val="48"/>
      <color rgb="FFFF0000"/>
      <name val="Perpetua"/>
      <charset val="134"/>
      <scheme val="minor"/>
    </font>
    <font>
      <sz val="10"/>
      <color rgb="FFFF0000"/>
      <name val="Arial"/>
      <charset val="134"/>
    </font>
    <font>
      <b/>
      <sz val="28"/>
      <name val="Arial"/>
      <charset val="134"/>
    </font>
    <font>
      <b/>
      <sz val="48"/>
      <name val="Arial"/>
      <charset val="134"/>
    </font>
    <font>
      <b/>
      <sz val="24"/>
      <color rgb="FFFF0000"/>
      <name val="Arial"/>
      <charset val="134"/>
    </font>
    <font>
      <b/>
      <sz val="24"/>
      <color rgb="FF222222"/>
      <name val="Arial"/>
      <charset val="134"/>
    </font>
    <font>
      <b/>
      <sz val="36"/>
      <name val="Arial"/>
      <charset val="134"/>
    </font>
    <font>
      <b/>
      <sz val="36"/>
      <color theme="0"/>
      <name val="Perpetua"/>
      <charset val="134"/>
      <scheme val="minor"/>
    </font>
    <font>
      <b/>
      <sz val="72"/>
      <color theme="1"/>
      <name val="Perpetua"/>
      <charset val="134"/>
      <scheme val="minor"/>
    </font>
    <font>
      <sz val="28"/>
      <color theme="1"/>
      <name val="Perpetua"/>
      <charset val="134"/>
      <scheme val="minor"/>
    </font>
    <font>
      <b/>
      <sz val="72"/>
      <color theme="0"/>
      <name val="Perpetua"/>
      <charset val="134"/>
      <scheme val="minor"/>
    </font>
    <font>
      <b/>
      <sz val="48"/>
      <color rgb="FFFF0000"/>
      <name val="Arial"/>
      <charset val="134"/>
    </font>
    <font>
      <b/>
      <sz val="48"/>
      <color theme="0"/>
      <name val="Arial"/>
      <charset val="134"/>
    </font>
    <font>
      <b/>
      <sz val="72"/>
      <color rgb="FFFF0000"/>
      <name val="Perpetua"/>
      <charset val="134"/>
      <scheme val="minor"/>
    </font>
    <font>
      <b/>
      <sz val="36"/>
      <color rgb="FFFF0000"/>
      <name val="Arial"/>
      <charset val="134"/>
    </font>
    <font>
      <b/>
      <sz val="72"/>
      <color theme="7" tint="0.39985351115451523"/>
      <name val="Perpetua"/>
      <charset val="134"/>
      <scheme val="minor"/>
    </font>
    <font>
      <b/>
      <sz val="16"/>
      <color rgb="FF6600CC"/>
      <name val="Castellar"/>
      <charset val="134"/>
    </font>
    <font>
      <b/>
      <sz val="16"/>
      <color rgb="FFFF0000"/>
      <name val="Arial"/>
      <charset val="134"/>
    </font>
    <font>
      <sz val="8"/>
      <color rgb="FF212529"/>
      <name val="Arial"/>
      <charset val="134"/>
    </font>
    <font>
      <b/>
      <sz val="10"/>
      <color rgb="FFFF0000"/>
      <name val="Calisto MT"/>
      <charset val="134"/>
    </font>
    <font>
      <b/>
      <sz val="28"/>
      <color rgb="FFFF0000"/>
      <name val="Calisto MT"/>
      <charset val="134"/>
    </font>
    <font>
      <b/>
      <sz val="12"/>
      <color rgb="FFFF0000"/>
      <name val="Perpetua"/>
      <charset val="134"/>
      <scheme val="minor"/>
    </font>
    <font>
      <b/>
      <sz val="16"/>
      <color rgb="FF222222"/>
      <name val="Arial"/>
      <charset val="134"/>
    </font>
    <font>
      <b/>
      <sz val="24"/>
      <name val="Cascadia Code ExtraLight"/>
      <charset val="134"/>
    </font>
    <font>
      <b/>
      <sz val="20"/>
      <name val="Calibri"/>
      <charset val="134"/>
    </font>
    <font>
      <b/>
      <sz val="22"/>
      <name val="Arial"/>
      <charset val="134"/>
    </font>
    <font>
      <b/>
      <sz val="26"/>
      <name val="Courier New"/>
      <charset val="134"/>
    </font>
    <font>
      <b/>
      <sz val="26"/>
      <name val="Bell MT"/>
      <charset val="134"/>
    </font>
    <font>
      <b/>
      <sz val="14"/>
      <color rgb="FF222222"/>
      <name val="Arial"/>
      <charset val="134"/>
    </font>
    <font>
      <b/>
      <sz val="20"/>
      <color rgb="FFFFFF00"/>
      <name val="Arial"/>
      <charset val="134"/>
    </font>
    <font>
      <b/>
      <sz val="28"/>
      <color theme="1"/>
      <name val="Calisto MT"/>
      <charset val="134"/>
    </font>
    <font>
      <b/>
      <sz val="24"/>
      <name val="72 Black"/>
      <charset val="134"/>
    </font>
    <font>
      <b/>
      <sz val="12"/>
      <name val="Arial"/>
      <charset val="134"/>
    </font>
    <font>
      <sz val="28"/>
      <name val="Arial"/>
      <charset val="134"/>
    </font>
    <font>
      <sz val="48"/>
      <name val="Arial"/>
      <charset val="134"/>
    </font>
    <font>
      <sz val="28"/>
      <name val="Times New Roman"/>
      <charset val="134"/>
    </font>
    <font>
      <u/>
      <sz val="28"/>
      <color theme="1"/>
      <name val="Times New Roman"/>
      <charset val="134"/>
    </font>
    <font>
      <sz val="48"/>
      <color rgb="FF6600CC"/>
      <name val="Castellar"/>
      <charset val="134"/>
    </font>
    <font>
      <sz val="28"/>
      <color rgb="FF6600CC"/>
      <name val="Castellar"/>
      <charset val="134"/>
    </font>
    <font>
      <sz val="28"/>
      <color rgb="FFFF0000"/>
      <name val="Arial"/>
      <charset val="134"/>
    </font>
    <font>
      <u/>
      <sz val="28"/>
      <color theme="1"/>
      <name val="Perpetua"/>
      <charset val="134"/>
      <scheme val="minor"/>
    </font>
    <font>
      <u/>
      <sz val="28"/>
      <color rgb="FF0000FF"/>
      <name val="Perpetua"/>
      <charset val="134"/>
      <scheme val="minor"/>
    </font>
    <font>
      <sz val="48"/>
      <color rgb="FF212529"/>
      <name val="Arial"/>
      <charset val="134"/>
    </font>
    <font>
      <sz val="28"/>
      <color rgb="FF212529"/>
      <name val="Arial"/>
      <charset val="134"/>
    </font>
    <font>
      <sz val="16"/>
      <name val="Arial"/>
      <charset val="134"/>
    </font>
    <font>
      <b/>
      <sz val="16"/>
      <name val="Arial"/>
      <charset val="134"/>
    </font>
    <font>
      <b/>
      <sz val="20"/>
      <name val="Arial"/>
      <charset val="134"/>
    </font>
    <font>
      <b/>
      <sz val="10"/>
      <name val="Arial"/>
      <charset val="134"/>
    </font>
    <font>
      <sz val="10"/>
      <name val="Courier New"/>
      <charset val="134"/>
    </font>
    <font>
      <sz val="48"/>
      <name val="Courier New"/>
      <charset val="134"/>
    </font>
    <font>
      <b/>
      <sz val="48"/>
      <name val="Courier New"/>
      <charset val="134"/>
    </font>
    <font>
      <b/>
      <sz val="72"/>
      <color theme="1"/>
      <name val="Courier New"/>
      <charset val="134"/>
    </font>
    <font>
      <b/>
      <sz val="48"/>
      <color rgb="FFFF0000"/>
      <name val="Courier New"/>
      <charset val="134"/>
    </font>
    <font>
      <b/>
      <sz val="48"/>
      <color rgb="FF000000"/>
      <name val="Courier New"/>
      <charset val="134"/>
    </font>
    <font>
      <b/>
      <sz val="28"/>
      <color theme="1"/>
      <name val="Courier New"/>
      <charset val="134"/>
    </font>
    <font>
      <b/>
      <sz val="12"/>
      <color rgb="FFFF0000"/>
      <name val="Courier New"/>
      <charset val="134"/>
    </font>
    <font>
      <b/>
      <sz val="12"/>
      <color theme="1"/>
      <name val="Courier New"/>
      <charset val="134"/>
    </font>
    <font>
      <sz val="12"/>
      <name val="Courier New"/>
      <charset val="134"/>
    </font>
    <font>
      <b/>
      <sz val="28"/>
      <name val="Courier New"/>
      <charset val="134"/>
    </font>
    <font>
      <b/>
      <sz val="36"/>
      <name val="Courier New"/>
      <charset val="134"/>
    </font>
    <font>
      <b/>
      <sz val="48"/>
      <color rgb="FFFF0000"/>
      <name val="Garamond"/>
      <charset val="134"/>
    </font>
    <font>
      <sz val="26"/>
      <color rgb="FFFF0000"/>
      <name val="Courier New"/>
      <charset val="134"/>
    </font>
    <font>
      <b/>
      <sz val="22"/>
      <color rgb="FF000000"/>
      <name val="Courier New"/>
      <charset val="134"/>
    </font>
    <font>
      <b/>
      <sz val="36"/>
      <color rgb="FFFF0000"/>
      <name val="Courier New"/>
      <charset val="134"/>
    </font>
    <font>
      <sz val="11"/>
      <color theme="1"/>
      <name val="Consolas"/>
      <charset val="134"/>
    </font>
    <font>
      <sz val="18"/>
      <color theme="1"/>
      <name val="Consolas"/>
      <charset val="134"/>
    </font>
    <font>
      <b/>
      <sz val="48"/>
      <color theme="1"/>
      <name val="Consolas"/>
      <charset val="134"/>
    </font>
    <font>
      <sz val="28"/>
      <color theme="1"/>
      <name val="Consolas"/>
      <charset val="134"/>
    </font>
    <font>
      <b/>
      <sz val="48"/>
      <color rgb="FFFF0000"/>
      <name val="Consolas"/>
      <charset val="134"/>
    </font>
    <font>
      <b/>
      <sz val="36"/>
      <color theme="1"/>
      <name val="Consolas"/>
      <charset val="134"/>
    </font>
    <font>
      <b/>
      <sz val="36"/>
      <color rgb="FFFF0000"/>
      <name val="Consolas"/>
      <charset val="134"/>
    </font>
    <font>
      <sz val="48"/>
      <color theme="1"/>
      <name val="Consolas"/>
      <charset val="134"/>
    </font>
    <font>
      <b/>
      <sz val="72"/>
      <color theme="1"/>
      <name val="Consolas"/>
      <charset val="134"/>
    </font>
    <font>
      <b/>
      <sz val="16"/>
      <name val="Consolas"/>
      <charset val="134"/>
    </font>
    <font>
      <sz val="72"/>
      <color theme="1"/>
      <name val="Consolas"/>
      <charset val="134"/>
    </font>
    <font>
      <b/>
      <sz val="48"/>
      <color rgb="FF000000"/>
      <name val="Consolas"/>
      <charset val="134"/>
    </font>
    <font>
      <b/>
      <sz val="22"/>
      <color theme="1"/>
      <name val="Consolas"/>
      <charset val="134"/>
    </font>
    <font>
      <b/>
      <sz val="28"/>
      <color theme="1"/>
      <name val="Consolas"/>
      <charset val="134"/>
    </font>
    <font>
      <b/>
      <sz val="36"/>
      <color rgb="FF000000"/>
      <name val="Consolas"/>
      <charset val="134"/>
    </font>
    <font>
      <sz val="26"/>
      <color theme="1"/>
      <name val="Consolas"/>
      <charset val="134"/>
    </font>
    <font>
      <b/>
      <sz val="26"/>
      <color theme="1"/>
      <name val="Sitka Small Semibold"/>
      <charset val="134"/>
    </font>
    <font>
      <b/>
      <sz val="72"/>
      <color theme="1"/>
      <name val="Sitka Small Semibold"/>
      <charset val="134"/>
    </font>
    <font>
      <b/>
      <sz val="72"/>
      <color rgb="FFFF0000"/>
      <name val="Sitka Small Semibold"/>
      <charset val="134"/>
    </font>
    <font>
      <b/>
      <sz val="48"/>
      <color theme="1"/>
      <name val="Sitka Small Semibold"/>
      <charset val="134"/>
    </font>
    <font>
      <b/>
      <sz val="26"/>
      <color rgb="FFFF0000"/>
      <name val="Sitka Small Semibold"/>
      <charset val="134"/>
    </font>
    <font>
      <sz val="26"/>
      <color rgb="FFFF0000"/>
      <name val="Sitka Small Semibold"/>
      <charset val="134"/>
    </font>
    <font>
      <sz val="72"/>
      <color theme="1"/>
      <name val="Sitka Small Semibold"/>
      <charset val="134"/>
    </font>
    <font>
      <sz val="36"/>
      <name val="Arial"/>
      <charset val="134"/>
    </font>
    <font>
      <b/>
      <u/>
      <sz val="36"/>
      <color theme="1"/>
      <name val="Perpetua"/>
      <charset val="134"/>
      <scheme val="minor"/>
    </font>
    <font>
      <b/>
      <u/>
      <sz val="24"/>
      <color theme="1"/>
      <name val="Perpetua"/>
      <charset val="134"/>
      <scheme val="minor"/>
    </font>
    <font>
      <b/>
      <sz val="36"/>
      <color rgb="FFFF0000"/>
      <name val="Bahnschrift SemiLight Condensed"/>
      <charset val="134"/>
    </font>
    <font>
      <b/>
      <sz val="36"/>
      <color theme="1" tint="4.9989318521683403E-2"/>
      <name val="Arial"/>
      <charset val="134"/>
    </font>
    <font>
      <b/>
      <sz val="36"/>
      <color rgb="FFFF0000"/>
      <name val="Arial Narrow"/>
      <charset val="134"/>
    </font>
    <font>
      <b/>
      <sz val="18"/>
      <color rgb="FFFF0000"/>
      <name val="Arial"/>
      <charset val="134"/>
    </font>
    <font>
      <b/>
      <sz val="36"/>
      <color theme="1"/>
      <name val="Arial"/>
      <charset val="134"/>
    </font>
    <font>
      <b/>
      <sz val="36"/>
      <color theme="1"/>
      <name val="Times New Roman"/>
      <charset val="134"/>
    </font>
    <font>
      <b/>
      <sz val="36"/>
      <color rgb="FFFF0000"/>
      <name val="Times New Roman"/>
      <charset val="134"/>
    </font>
    <font>
      <b/>
      <sz val="36"/>
      <color theme="1" tint="4.9989318521683403E-2"/>
      <name val="Times New Roman"/>
      <charset val="134"/>
    </font>
    <font>
      <b/>
      <sz val="18"/>
      <color theme="1"/>
      <name val="Arial"/>
      <charset val="134"/>
    </font>
    <font>
      <sz val="72"/>
      <name val="Consolas"/>
      <charset val="134"/>
    </font>
    <font>
      <b/>
      <sz val="72"/>
      <color rgb="FF000000"/>
      <name val="Courier New"/>
      <charset val="134"/>
    </font>
    <font>
      <sz val="28"/>
      <name val="Perpetua"/>
      <charset val="134"/>
      <scheme val="minor"/>
    </font>
    <font>
      <b/>
      <sz val="72"/>
      <name val="Berlin Sans FB Demi"/>
      <charset val="134"/>
    </font>
    <font>
      <sz val="72"/>
      <name val="Perpetua"/>
      <charset val="134"/>
      <scheme val="minor"/>
    </font>
    <font>
      <b/>
      <sz val="72"/>
      <color rgb="FFFF0000"/>
      <name val="72 Black"/>
      <charset val="134"/>
    </font>
    <font>
      <sz val="72"/>
      <name val="Berlin Sans FB Demi"/>
      <charset val="134"/>
    </font>
    <font>
      <sz val="48"/>
      <name val="Perpetua"/>
      <charset val="134"/>
      <scheme val="minor"/>
    </font>
    <font>
      <sz val="72"/>
      <name val="Perpetua"/>
      <charset val="134"/>
      <scheme val="minor"/>
    </font>
    <font>
      <b/>
      <sz val="72"/>
      <color rgb="FFFF0000"/>
      <name val="Berlin Sans FB Demi"/>
      <charset val="134"/>
    </font>
    <font>
      <b/>
      <sz val="72"/>
      <name val="Perpetua"/>
      <charset val="134"/>
      <scheme val="minor"/>
    </font>
    <font>
      <sz val="72"/>
      <color rgb="FFFF0000"/>
      <name val="Perpetua"/>
      <charset val="134"/>
      <scheme val="minor"/>
    </font>
    <font>
      <sz val="72"/>
      <color rgb="FFFF0000"/>
      <name val="Berlin Sans FB Demi"/>
      <charset val="134"/>
    </font>
    <font>
      <sz val="12"/>
      <color rgb="FFFF0000"/>
      <name val="Perpetua"/>
      <charset val="134"/>
      <scheme val="minor"/>
    </font>
    <font>
      <b/>
      <sz val="72"/>
      <name val="Times New Roman"/>
      <charset val="134"/>
    </font>
    <font>
      <sz val="26"/>
      <name val="Perpetua"/>
      <charset val="134"/>
      <scheme val="minor"/>
    </font>
    <font>
      <sz val="72"/>
      <name val="Franklin Gothic Book"/>
      <charset val="134"/>
      <scheme val="major"/>
    </font>
    <font>
      <sz val="72"/>
      <color theme="1"/>
      <name val="Perpetua"/>
      <charset val="134"/>
      <scheme val="minor"/>
    </font>
    <font>
      <sz val="26"/>
      <name val="Berlin Sans FB Demi"/>
      <charset val="134"/>
    </font>
    <font>
      <b/>
      <sz val="48"/>
      <name val="Cambria"/>
      <charset val="134"/>
    </font>
    <font>
      <b/>
      <sz val="72"/>
      <name val="Cambria"/>
      <charset val="134"/>
    </font>
    <font>
      <u/>
      <sz val="72"/>
      <color rgb="FFFF0000"/>
      <name val="Perpetua"/>
      <charset val="134"/>
      <scheme val="minor"/>
    </font>
    <font>
      <sz val="14"/>
      <color rgb="FFFF0000"/>
      <name val="Arial"/>
      <charset val="134"/>
    </font>
    <font>
      <sz val="12"/>
      <color rgb="FFFF0000"/>
      <name val="Arial"/>
      <charset val="134"/>
    </font>
    <font>
      <b/>
      <sz val="72"/>
      <color rgb="FFFF0000"/>
      <name val="Arial"/>
      <charset val="134"/>
    </font>
    <font>
      <b/>
      <sz val="72"/>
      <name val="Bell MT"/>
      <charset val="134"/>
    </font>
    <font>
      <b/>
      <sz val="72"/>
      <color theme="2"/>
      <name val="Berlin Sans FB Demi"/>
      <charset val="134"/>
    </font>
    <font>
      <b/>
      <sz val="72"/>
      <color theme="2"/>
      <name val="Arial"/>
      <charset val="134"/>
    </font>
    <font>
      <b/>
      <sz val="12"/>
      <color rgb="FF222222"/>
      <name val="Arial"/>
      <charset val="134"/>
    </font>
    <font>
      <b/>
      <sz val="13.5"/>
      <color rgb="FF222222"/>
      <name val="Comic Sans MS"/>
      <charset val="134"/>
    </font>
    <font>
      <b/>
      <sz val="16"/>
      <color rgb="FFFF0000"/>
      <name val="Calibri"/>
      <charset val="134"/>
    </font>
    <font>
      <b/>
      <sz val="16"/>
      <color theme="1"/>
      <name val="Calibri"/>
      <charset val="134"/>
    </font>
    <font>
      <b/>
      <sz val="14"/>
      <color theme="1"/>
      <name val="72 Light"/>
      <charset val="134"/>
    </font>
    <font>
      <sz val="26"/>
      <color indexed="8"/>
      <name val="Baskerville Old Face"/>
      <charset val="134"/>
    </font>
    <font>
      <b/>
      <sz val="26"/>
      <color theme="1"/>
      <name val="Century"/>
      <charset val="134"/>
    </font>
    <font>
      <sz val="36"/>
      <color theme="1"/>
      <name val="Consolas"/>
      <charset val="134"/>
    </font>
    <font>
      <b/>
      <sz val="48"/>
      <color rgb="FFFF0000"/>
      <name val="Sitka Small Semibold"/>
      <charset val="134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85351115451523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538ED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</borders>
  <cellStyleXfs count="6"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212" fillId="0" borderId="0"/>
    <xf numFmtId="0" fontId="11" fillId="0" borderId="0"/>
  </cellStyleXfs>
  <cellXfs count="60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2" applyFont="1">
      <alignment vertical="center"/>
    </xf>
    <xf numFmtId="0" fontId="0" fillId="0" borderId="0" xfId="2" applyFont="1" applyAlignment="1">
      <alignment vertical="top"/>
    </xf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/>
    <xf numFmtId="0" fontId="0" fillId="2" borderId="0" xfId="0" applyFill="1" applyAlignment="1"/>
    <xf numFmtId="0" fontId="7" fillId="0" borderId="0" xfId="0" applyFont="1" applyAlignment="1"/>
    <xf numFmtId="0" fontId="8" fillId="0" borderId="0" xfId="1" applyFont="1" applyAlignment="1" applyProtection="1"/>
    <xf numFmtId="0" fontId="9" fillId="0" borderId="0" xfId="0" applyFont="1" applyAlignment="1"/>
    <xf numFmtId="0" fontId="10" fillId="0" borderId="0" xfId="0" applyFont="1" applyAlignment="1"/>
    <xf numFmtId="0" fontId="11" fillId="0" borderId="0" xfId="3"/>
    <xf numFmtId="0" fontId="12" fillId="0" borderId="2" xfId="3" applyFont="1" applyBorder="1"/>
    <xf numFmtId="0" fontId="12" fillId="3" borderId="2" xfId="3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6" fillId="3" borderId="0" xfId="3" applyFont="1" applyFill="1"/>
    <xf numFmtId="0" fontId="17" fillId="0" borderId="0" xfId="3" applyFont="1"/>
    <xf numFmtId="0" fontId="18" fillId="0" borderId="1" xfId="3" applyFont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0" fontId="11" fillId="0" borderId="1" xfId="3" applyBorder="1"/>
    <xf numFmtId="0" fontId="18" fillId="0" borderId="0" xfId="3" applyFont="1" applyAlignment="1">
      <alignment horizontal="center" vertical="center"/>
    </xf>
    <xf numFmtId="0" fontId="19" fillId="0" borderId="1" xfId="3" applyFont="1" applyBorder="1"/>
    <xf numFmtId="0" fontId="20" fillId="0" borderId="0" xfId="3" applyFont="1" applyAlignment="1">
      <alignment horizontal="center" vertical="center"/>
    </xf>
    <xf numFmtId="0" fontId="18" fillId="0" borderId="0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1" xfId="0" applyFont="1" applyBorder="1">
      <alignment vertical="center"/>
    </xf>
    <xf numFmtId="0" fontId="23" fillId="0" borderId="0" xfId="0" applyFont="1">
      <alignment vertical="center"/>
    </xf>
    <xf numFmtId="0" fontId="24" fillId="0" borderId="1" xfId="1" applyBorder="1">
      <alignment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0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8" fillId="5" borderId="0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top" wrapText="1"/>
    </xf>
    <xf numFmtId="0" fontId="36" fillId="0" borderId="3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/>
    </xf>
    <xf numFmtId="0" fontId="40" fillId="6" borderId="4" xfId="0" applyFont="1" applyFill="1" applyBorder="1" applyAlignment="1">
      <alignment horizontal="left" vertical="top"/>
    </xf>
    <xf numFmtId="0" fontId="20" fillId="0" borderId="0" xfId="0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left" vertical="top"/>
    </xf>
    <xf numFmtId="0" fontId="41" fillId="0" borderId="0" xfId="0" applyFont="1" applyFill="1" applyBorder="1" applyAlignment="1">
      <alignment horizontal="center"/>
    </xf>
    <xf numFmtId="0" fontId="37" fillId="0" borderId="1" xfId="0" applyFont="1" applyFill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left" vertical="top"/>
    </xf>
    <xf numFmtId="0" fontId="44" fillId="0" borderId="0" xfId="0" applyFont="1">
      <alignment vertical="center"/>
    </xf>
    <xf numFmtId="0" fontId="18" fillId="0" borderId="1" xfId="0" applyFont="1" applyFill="1" applyBorder="1" applyAlignment="1">
      <alignment horizontal="center" vertical="center"/>
    </xf>
    <xf numFmtId="0" fontId="45" fillId="7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18" fillId="0" borderId="5" xfId="0" applyFont="1" applyFill="1" applyBorder="1" applyAlignment="1">
      <alignment horizontal="center" vertical="center"/>
    </xf>
    <xf numFmtId="0" fontId="45" fillId="8" borderId="1" xfId="0" applyFont="1" applyFill="1" applyBorder="1" applyAlignment="1">
      <alignment horizontal="center" vertical="center"/>
    </xf>
    <xf numFmtId="0" fontId="17" fillId="9" borderId="0" xfId="0" applyFont="1" applyFill="1" applyAlignment="1">
      <alignment vertical="center"/>
    </xf>
    <xf numFmtId="0" fontId="18" fillId="6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43" fillId="9" borderId="0" xfId="0" applyFont="1" applyFill="1" applyAlignment="1">
      <alignment vertical="center"/>
    </xf>
    <xf numFmtId="0" fontId="46" fillId="0" borderId="0" xfId="0" applyFont="1" applyAlignment="1"/>
    <xf numFmtId="0" fontId="19" fillId="0" borderId="0" xfId="0" applyFont="1" applyAlignment="1"/>
    <xf numFmtId="0" fontId="29" fillId="0" borderId="0" xfId="0" applyFont="1" applyAlignment="1"/>
    <xf numFmtId="0" fontId="19" fillId="10" borderId="1" xfId="0" applyFont="1" applyFill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10" borderId="0" xfId="0" applyFont="1" applyFill="1" applyAlignment="1">
      <alignment horizontal="left" vertical="top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top"/>
    </xf>
    <xf numFmtId="0" fontId="46" fillId="0" borderId="0" xfId="0" applyFont="1" applyAlignment="1">
      <alignment horizontal="left" vertical="top"/>
    </xf>
    <xf numFmtId="0" fontId="19" fillId="11" borderId="1" xfId="0" applyFont="1" applyFill="1" applyBorder="1" applyAlignment="1">
      <alignment horizontal="left" vertical="top"/>
    </xf>
    <xf numFmtId="0" fontId="19" fillId="0" borderId="5" xfId="0" applyFont="1" applyBorder="1" applyAlignment="1">
      <alignment horizontal="center" vertical="center"/>
    </xf>
    <xf numFmtId="0" fontId="47" fillId="3" borderId="1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0" fontId="29" fillId="0" borderId="0" xfId="0" applyFont="1" applyAlignment="1">
      <alignment horizontal="left" vertical="top"/>
    </xf>
    <xf numFmtId="0" fontId="48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8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0" fontId="48" fillId="0" borderId="1" xfId="0" applyFont="1" applyBorder="1" applyAlignment="1">
      <alignment horizontal="center" vertical="top"/>
    </xf>
    <xf numFmtId="0" fontId="21" fillId="0" borderId="1" xfId="0" applyFont="1" applyBorder="1" applyAlignment="1">
      <alignment horizontal="left" vertical="top"/>
    </xf>
    <xf numFmtId="10" fontId="19" fillId="0" borderId="1" xfId="0" applyNumberFormat="1" applyFont="1" applyBorder="1" applyAlignment="1">
      <alignment horizontal="left" vertical="top"/>
    </xf>
    <xf numFmtId="9" fontId="19" fillId="0" borderId="1" xfId="0" applyNumberFormat="1" applyFont="1" applyBorder="1" applyAlignment="1">
      <alignment horizontal="left" vertical="top"/>
    </xf>
    <xf numFmtId="0" fontId="49" fillId="0" borderId="0" xfId="0" applyFont="1">
      <alignment vertical="center"/>
    </xf>
    <xf numFmtId="0" fontId="49" fillId="0" borderId="0" xfId="0" applyFont="1" applyAlignment="1">
      <alignment horizontal="center" vertical="center"/>
    </xf>
    <xf numFmtId="0" fontId="39" fillId="0" borderId="0" xfId="0" applyFont="1">
      <alignment vertical="center"/>
    </xf>
    <xf numFmtId="0" fontId="50" fillId="0" borderId="0" xfId="0" applyFont="1">
      <alignment vertical="center"/>
    </xf>
    <xf numFmtId="0" fontId="51" fillId="0" borderId="0" xfId="0" applyFont="1" applyFill="1" applyAlignment="1">
      <alignment horizontal="left" vertical="top"/>
    </xf>
    <xf numFmtId="0" fontId="51" fillId="0" borderId="0" xfId="0" applyFont="1" applyAlignment="1">
      <alignment horizontal="left" vertical="top"/>
    </xf>
    <xf numFmtId="0" fontId="21" fillId="12" borderId="4" xfId="0" applyFont="1" applyFill="1" applyBorder="1" applyAlignment="1">
      <alignment horizontal="left" vertical="top"/>
    </xf>
    <xf numFmtId="0" fontId="21" fillId="12" borderId="1" xfId="0" applyFont="1" applyFill="1" applyBorder="1" applyAlignment="1">
      <alignment horizontal="left" vertical="top"/>
    </xf>
    <xf numFmtId="0" fontId="21" fillId="6" borderId="1" xfId="0" applyFont="1" applyFill="1" applyBorder="1" applyAlignment="1">
      <alignment horizontal="center" vertical="center"/>
    </xf>
    <xf numFmtId="0" fontId="21" fillId="13" borderId="4" xfId="0" applyFont="1" applyFill="1" applyBorder="1" applyAlignment="1">
      <alignment horizontal="left" vertical="top"/>
    </xf>
    <xf numFmtId="0" fontId="21" fillId="13" borderId="1" xfId="0" applyFont="1" applyFill="1" applyBorder="1" applyAlignment="1">
      <alignment horizontal="left" vertical="top"/>
    </xf>
    <xf numFmtId="0" fontId="51" fillId="6" borderId="0" xfId="0" applyFont="1" applyFill="1" applyAlignment="1">
      <alignment horizontal="left" vertical="top"/>
    </xf>
    <xf numFmtId="0" fontId="21" fillId="0" borderId="0" xfId="0" applyFont="1" applyAlignment="1">
      <alignment horizontal="center" vertical="center"/>
    </xf>
    <xf numFmtId="0" fontId="21" fillId="0" borderId="0" xfId="0" applyFont="1" applyFill="1" applyBorder="1" applyAlignment="1">
      <alignment horizontal="left" vertical="top"/>
    </xf>
    <xf numFmtId="0" fontId="21" fillId="0" borderId="1" xfId="0" applyFont="1" applyFill="1" applyBorder="1" applyAlignment="1">
      <alignment horizontal="left" vertical="top"/>
    </xf>
    <xf numFmtId="0" fontId="52" fillId="0" borderId="0" xfId="0" applyFont="1" applyAlignment="1">
      <alignment horizontal="left" vertical="top"/>
    </xf>
    <xf numFmtId="0" fontId="53" fillId="0" borderId="0" xfId="1" applyFont="1" applyAlignment="1"/>
    <xf numFmtId="0" fontId="54" fillId="14" borderId="1" xfId="0" applyFont="1" applyFill="1" applyBorder="1" applyAlignment="1">
      <alignment horizontal="left" vertical="top"/>
    </xf>
    <xf numFmtId="0" fontId="55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left" vertical="top"/>
    </xf>
    <xf numFmtId="0" fontId="54" fillId="0" borderId="1" xfId="0" applyFont="1" applyBorder="1" applyAlignment="1">
      <alignment horizontal="left" vertical="top"/>
    </xf>
    <xf numFmtId="0" fontId="54" fillId="3" borderId="0" xfId="0" applyFont="1" applyFill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52" fillId="15" borderId="0" xfId="0" applyFont="1" applyFill="1" applyAlignment="1">
      <alignment horizontal="left" vertical="top"/>
    </xf>
    <xf numFmtId="164" fontId="20" fillId="0" borderId="1" xfId="0" applyNumberFormat="1" applyFont="1" applyBorder="1" applyAlignment="1">
      <alignment horizontal="left" vertical="top"/>
    </xf>
    <xf numFmtId="2" fontId="20" fillId="0" borderId="1" xfId="0" applyNumberFormat="1" applyFont="1" applyBorder="1" applyAlignment="1">
      <alignment horizontal="left" vertical="top"/>
    </xf>
    <xf numFmtId="0" fontId="21" fillId="6" borderId="1" xfId="0" applyFont="1" applyFill="1" applyBorder="1" applyAlignment="1">
      <alignment horizontal="left" vertical="top"/>
    </xf>
    <xf numFmtId="0" fontId="57" fillId="0" borderId="1" xfId="0" applyFont="1" applyFill="1" applyBorder="1" applyAlignment="1">
      <alignment horizontal="left" vertical="top"/>
    </xf>
    <xf numFmtId="0" fontId="21" fillId="3" borderId="0" xfId="0" applyFont="1" applyFill="1" applyAlignment="1">
      <alignment horizontal="left" vertical="top"/>
    </xf>
    <xf numFmtId="0" fontId="21" fillId="3" borderId="1" xfId="0" applyFont="1" applyFill="1" applyBorder="1" applyAlignment="1">
      <alignment horizontal="left" vertical="top"/>
    </xf>
    <xf numFmtId="0" fontId="21" fillId="0" borderId="0" xfId="0" applyFont="1" applyFill="1" applyAlignment="1">
      <alignment horizontal="left" vertical="top"/>
    </xf>
    <xf numFmtId="0" fontId="21" fillId="6" borderId="4" xfId="0" applyFont="1" applyFill="1" applyBorder="1" applyAlignment="1">
      <alignment horizontal="left" vertical="top"/>
    </xf>
    <xf numFmtId="0" fontId="21" fillId="0" borderId="0" xfId="0" applyFont="1" applyAlignment="1">
      <alignment vertical="center"/>
    </xf>
    <xf numFmtId="0" fontId="21" fillId="4" borderId="1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21" fillId="16" borderId="0" xfId="0" applyFont="1" applyFill="1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49" fillId="0" borderId="0" xfId="0" applyFont="1" applyFill="1" applyAlignment="1"/>
    <xf numFmtId="0" fontId="49" fillId="0" borderId="0" xfId="0" applyFont="1" applyAlignment="1"/>
    <xf numFmtId="0" fontId="5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60" fillId="10" borderId="0" xfId="0" applyFont="1" applyFill="1" applyAlignment="1">
      <alignment horizontal="left" vertical="top"/>
    </xf>
    <xf numFmtId="0" fontId="20" fillId="0" borderId="0" xfId="0" applyFont="1" applyAlignment="1">
      <alignment horizontal="left" vertical="top"/>
    </xf>
    <xf numFmtId="0" fontId="61" fillId="0" borderId="0" xfId="0" applyFont="1" applyAlignment="1">
      <alignment horizontal="left" vertical="top"/>
    </xf>
    <xf numFmtId="0" fontId="62" fillId="9" borderId="1" xfId="0" applyFont="1" applyFill="1" applyBorder="1" applyAlignment="1">
      <alignment horizontal="center" vertical="center"/>
    </xf>
    <xf numFmtId="0" fontId="63" fillId="3" borderId="1" xfId="0" applyFont="1" applyFill="1" applyBorder="1" applyAlignment="1">
      <alignment horizontal="left" vertical="top"/>
    </xf>
    <xf numFmtId="0" fontId="21" fillId="9" borderId="1" xfId="0" applyFont="1" applyFill="1" applyBorder="1" applyAlignment="1">
      <alignment vertical="center"/>
    </xf>
    <xf numFmtId="0" fontId="64" fillId="9" borderId="1" xfId="0" applyFont="1" applyFill="1" applyBorder="1">
      <alignment vertical="center"/>
    </xf>
    <xf numFmtId="0" fontId="61" fillId="9" borderId="1" xfId="0" applyFont="1" applyFill="1" applyBorder="1" applyAlignment="1">
      <alignment horizontal="left" vertical="top"/>
    </xf>
    <xf numFmtId="0" fontId="59" fillId="9" borderId="1" xfId="0" applyFont="1" applyFill="1" applyBorder="1" applyAlignment="1">
      <alignment vertical="center"/>
    </xf>
    <xf numFmtId="0" fontId="65" fillId="9" borderId="1" xfId="0" applyFont="1" applyFill="1" applyBorder="1" applyAlignment="1"/>
    <xf numFmtId="0" fontId="21" fillId="0" borderId="0" xfId="0" applyFont="1" applyAlignment="1">
      <alignment horizontal="center" vertical="center" wrapText="1"/>
    </xf>
    <xf numFmtId="0" fontId="65" fillId="9" borderId="1" xfId="0" applyFont="1" applyFill="1" applyBorder="1" applyAlignment="1">
      <alignment horizontal="left"/>
    </xf>
    <xf numFmtId="0" fontId="66" fillId="9" borderId="1" xfId="0" applyFont="1" applyFill="1" applyBorder="1" applyAlignment="1"/>
    <xf numFmtId="0" fontId="66" fillId="9" borderId="1" xfId="0" applyFont="1" applyFill="1" applyBorder="1" applyAlignment="1">
      <alignment horizontal="left"/>
    </xf>
    <xf numFmtId="0" fontId="67" fillId="0" borderId="6" xfId="0" applyFont="1" applyBorder="1">
      <alignment vertical="center"/>
    </xf>
    <xf numFmtId="0" fontId="67" fillId="0" borderId="1" xfId="0" applyFont="1" applyBorder="1">
      <alignment vertical="center"/>
    </xf>
    <xf numFmtId="0" fontId="59" fillId="0" borderId="0" xfId="0" applyFont="1" applyFill="1" applyAlignment="1">
      <alignment vertical="center"/>
    </xf>
    <xf numFmtId="0" fontId="21" fillId="0" borderId="0" xfId="0" applyFont="1" applyFill="1" applyAlignment="1">
      <alignment horizontal="center" vertical="center"/>
    </xf>
    <xf numFmtId="0" fontId="67" fillId="0" borderId="0" xfId="0" applyFont="1" applyFill="1" applyBorder="1">
      <alignment vertical="center"/>
    </xf>
    <xf numFmtId="0" fontId="21" fillId="0" borderId="0" xfId="0" applyFont="1" applyFill="1" applyBorder="1" applyAlignment="1">
      <alignment vertical="center"/>
    </xf>
    <xf numFmtId="0" fontId="63" fillId="9" borderId="1" xfId="0" applyFont="1" applyFill="1" applyBorder="1" applyAlignment="1">
      <alignment horizontal="left" vertical="top"/>
    </xf>
    <xf numFmtId="10" fontId="20" fillId="0" borderId="0" xfId="0" applyNumberFormat="1" applyFont="1" applyAlignment="1">
      <alignment vertical="center"/>
    </xf>
    <xf numFmtId="0" fontId="20" fillId="17" borderId="0" xfId="0" applyFont="1" applyFill="1" applyAlignment="1">
      <alignment horizontal="left" vertical="top"/>
    </xf>
    <xf numFmtId="0" fontId="5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4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68" fillId="0" borderId="0" xfId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69" fillId="3" borderId="6" xfId="0" applyFont="1" applyFill="1" applyBorder="1" applyAlignment="1"/>
    <xf numFmtId="0" fontId="69" fillId="3" borderId="7" xfId="0" applyFont="1" applyFill="1" applyBorder="1" applyAlignment="1"/>
    <xf numFmtId="0" fontId="69" fillId="2" borderId="7" xfId="0" applyFont="1" applyFill="1" applyBorder="1" applyAlignment="1"/>
    <xf numFmtId="0" fontId="0" fillId="0" borderId="0" xfId="0" applyFill="1" applyBorder="1">
      <alignment vertical="center"/>
    </xf>
    <xf numFmtId="0" fontId="69" fillId="0" borderId="0" xfId="0" applyFont="1" applyFill="1" applyBorder="1" applyAlignment="1"/>
    <xf numFmtId="0" fontId="70" fillId="18" borderId="7" xfId="0" applyFont="1" applyFill="1" applyBorder="1" applyAlignment="1"/>
    <xf numFmtId="0" fontId="69" fillId="18" borderId="7" xfId="0" applyFont="1" applyFill="1" applyBorder="1" applyAlignment="1"/>
    <xf numFmtId="0" fontId="69" fillId="19" borderId="7" xfId="0" applyFont="1" applyFill="1" applyBorder="1" applyAlignment="1"/>
    <xf numFmtId="0" fontId="70" fillId="20" borderId="7" xfId="0" applyFont="1" applyFill="1" applyBorder="1" applyAlignment="1"/>
    <xf numFmtId="0" fontId="69" fillId="21" borderId="0" xfId="0" applyFont="1" applyFill="1" applyAlignment="1"/>
    <xf numFmtId="0" fontId="69" fillId="2" borderId="4" xfId="0" applyFont="1" applyFill="1" applyBorder="1" applyAlignment="1"/>
    <xf numFmtId="0" fontId="70" fillId="0" borderId="0" xfId="0" applyFont="1" applyFill="1" applyBorder="1" applyAlignment="1"/>
    <xf numFmtId="0" fontId="71" fillId="22" borderId="7" xfId="0" applyFont="1" applyFill="1" applyBorder="1" applyAlignment="1"/>
    <xf numFmtId="0" fontId="69" fillId="2" borderId="0" xfId="0" applyFont="1" applyFill="1" applyAlignment="1"/>
    <xf numFmtId="0" fontId="69" fillId="23" borderId="0" xfId="0" applyFont="1" applyFill="1" applyAlignment="1"/>
    <xf numFmtId="0" fontId="71" fillId="0" borderId="0" xfId="0" applyFont="1" applyFill="1" applyBorder="1" applyAlignment="1"/>
    <xf numFmtId="0" fontId="69" fillId="18" borderId="1" xfId="0" applyFont="1" applyFill="1" applyBorder="1" applyAlignment="1"/>
    <xf numFmtId="0" fontId="69" fillId="18" borderId="4" xfId="0" applyFont="1" applyFill="1" applyBorder="1" applyAlignment="1"/>
    <xf numFmtId="0" fontId="69" fillId="3" borderId="4" xfId="0" applyFont="1" applyFill="1" applyBorder="1" applyAlignment="1"/>
    <xf numFmtId="0" fontId="0" fillId="2" borderId="0" xfId="0" applyFill="1">
      <alignment vertical="center"/>
    </xf>
    <xf numFmtId="0" fontId="69" fillId="2" borderId="6" xfId="0" applyFont="1" applyFill="1" applyBorder="1" applyAlignment="1"/>
    <xf numFmtId="0" fontId="72" fillId="24" borderId="0" xfId="0" applyFont="1" applyFill="1">
      <alignment vertical="center"/>
    </xf>
    <xf numFmtId="0" fontId="26" fillId="3" borderId="0" xfId="0" applyFont="1" applyFill="1">
      <alignment vertical="center"/>
    </xf>
    <xf numFmtId="0" fontId="25" fillId="0" borderId="0" xfId="0" applyFont="1" applyAlignment="1">
      <alignment horizontal="left" vertical="top"/>
    </xf>
    <xf numFmtId="0" fontId="0" fillId="0" borderId="0" xfId="0" applyBorder="1">
      <alignment vertical="center"/>
    </xf>
    <xf numFmtId="0" fontId="73" fillId="0" borderId="0" xfId="0" applyFont="1" applyBorder="1" applyAlignment="1">
      <alignment horizontal="left" vertical="top"/>
    </xf>
    <xf numFmtId="0" fontId="74" fillId="0" borderId="0" xfId="0" applyFont="1" applyBorder="1">
      <alignment vertical="center"/>
    </xf>
    <xf numFmtId="0" fontId="75" fillId="0" borderId="0" xfId="0" applyFont="1" applyBorder="1">
      <alignment vertical="center"/>
    </xf>
    <xf numFmtId="0" fontId="19" fillId="0" borderId="0" xfId="0" applyFont="1" applyBorder="1" applyAlignment="1">
      <alignment horizontal="left" vertical="top"/>
    </xf>
    <xf numFmtId="0" fontId="76" fillId="0" borderId="1" xfId="0" applyFont="1" applyBorder="1" applyAlignment="1">
      <alignment horizontal="left" vertical="top"/>
    </xf>
    <xf numFmtId="0" fontId="77" fillId="0" borderId="0" xfId="0" applyFont="1" applyBorder="1">
      <alignment vertical="center"/>
    </xf>
    <xf numFmtId="0" fontId="78" fillId="0" borderId="0" xfId="0" applyFont="1" applyBorder="1">
      <alignment vertical="center"/>
    </xf>
    <xf numFmtId="0" fontId="33" fillId="0" borderId="0" xfId="0" applyFont="1" applyBorder="1" applyAlignment="1">
      <alignment horizontal="center" vertical="center"/>
    </xf>
    <xf numFmtId="0" fontId="79" fillId="0" borderId="0" xfId="0" applyFont="1" applyBorder="1">
      <alignment vertical="center"/>
    </xf>
    <xf numFmtId="0" fontId="73" fillId="0" borderId="0" xfId="0" applyFont="1">
      <alignment vertical="center"/>
    </xf>
    <xf numFmtId="0" fontId="80" fillId="0" borderId="0" xfId="0" applyFont="1" applyAlignment="1">
      <alignment vertical="center" wrapText="1"/>
    </xf>
    <xf numFmtId="0" fontId="81" fillId="0" borderId="0" xfId="0" applyFont="1" applyAlignment="1">
      <alignment vertical="center" wrapText="1"/>
    </xf>
    <xf numFmtId="0" fontId="82" fillId="0" borderId="0" xfId="0" applyFont="1" applyBorder="1" applyAlignment="1">
      <alignment horizontal="center" vertical="center"/>
    </xf>
    <xf numFmtId="0" fontId="76" fillId="0" borderId="1" xfId="0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 vertical="center"/>
    </xf>
    <xf numFmtId="0" fontId="83" fillId="6" borderId="1" xfId="0" applyFont="1" applyFill="1" applyBorder="1" applyAlignment="1">
      <alignment horizontal="center" vertical="center" wrapText="1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 wrapText="1"/>
    </xf>
    <xf numFmtId="0" fontId="84" fillId="0" borderId="1" xfId="0" applyFont="1" applyFill="1" applyBorder="1" applyAlignment="1">
      <alignment horizontal="center" vertical="center" wrapText="1"/>
    </xf>
    <xf numFmtId="0" fontId="84" fillId="0" borderId="8" xfId="0" applyFont="1" applyBorder="1" applyAlignment="1">
      <alignment horizontal="center" vertical="center"/>
    </xf>
    <xf numFmtId="0" fontId="85" fillId="0" borderId="4" xfId="0" applyFont="1" applyBorder="1" applyAlignment="1">
      <alignment horizontal="center" vertical="center" wrapText="1"/>
    </xf>
    <xf numFmtId="0" fontId="8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74" fillId="0" borderId="1" xfId="0" applyFont="1" applyBorder="1" applyAlignment="1">
      <alignment wrapText="1"/>
    </xf>
    <xf numFmtId="0" fontId="86" fillId="6" borderId="1" xfId="0" applyFont="1" applyFill="1" applyBorder="1" applyAlignment="1">
      <alignment horizontal="center" vertical="center"/>
    </xf>
    <xf numFmtId="0" fontId="86" fillId="25" borderId="1" xfId="0" applyFont="1" applyFill="1" applyBorder="1" applyAlignment="1">
      <alignment horizontal="center" vertical="center" wrapText="1"/>
    </xf>
    <xf numFmtId="0" fontId="87" fillId="25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wrapText="1"/>
    </xf>
    <xf numFmtId="0" fontId="88" fillId="25" borderId="1" xfId="0" applyFont="1" applyFill="1" applyBorder="1" applyAlignment="1">
      <alignment horizontal="center" vertical="center" wrapText="1"/>
    </xf>
    <xf numFmtId="0" fontId="89" fillId="9" borderId="1" xfId="0" applyFont="1" applyFill="1" applyBorder="1" applyAlignment="1">
      <alignment horizontal="center" vertical="center" wrapText="1"/>
    </xf>
    <xf numFmtId="0" fontId="90" fillId="25" borderId="1" xfId="0" applyFont="1" applyFill="1" applyBorder="1" applyAlignment="1">
      <alignment horizontal="center" vertical="center" wrapText="1"/>
    </xf>
    <xf numFmtId="0" fontId="91" fillId="2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7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14" fontId="67" fillId="9" borderId="1" xfId="0" applyNumberFormat="1" applyFont="1" applyFill="1" applyBorder="1" applyAlignment="1">
      <alignment horizontal="center" vertical="center"/>
    </xf>
    <xf numFmtId="0" fontId="9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14" fontId="67" fillId="0" borderId="1" xfId="0" applyNumberFormat="1" applyFont="1" applyBorder="1" applyAlignment="1">
      <alignment horizontal="center" vertical="center"/>
    </xf>
    <xf numFmtId="0" fontId="67" fillId="0" borderId="3" xfId="0" applyFont="1" applyFill="1" applyBorder="1" applyAlignment="1">
      <alignment horizontal="center" vertical="center"/>
    </xf>
    <xf numFmtId="12" fontId="94" fillId="0" borderId="0" xfId="0" applyNumberFormat="1" applyFont="1">
      <alignment vertical="center"/>
    </xf>
    <xf numFmtId="0" fontId="26" fillId="0" borderId="1" xfId="0" applyFont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95" fillId="0" borderId="9" xfId="0" applyFont="1" applyFill="1" applyBorder="1">
      <alignment vertical="center"/>
    </xf>
    <xf numFmtId="0" fontId="96" fillId="0" borderId="9" xfId="0" applyFont="1" applyFill="1" applyBorder="1">
      <alignment vertical="center"/>
    </xf>
    <xf numFmtId="0" fontId="20" fillId="0" borderId="1" xfId="0" applyFont="1" applyBorder="1" applyAlignment="1">
      <alignment horizontal="center" vertical="center"/>
    </xf>
    <xf numFmtId="0" fontId="97" fillId="0" borderId="1" xfId="0" applyFont="1" applyBorder="1" applyAlignment="1">
      <alignment horizontal="center" vertical="center"/>
    </xf>
    <xf numFmtId="0" fontId="98" fillId="0" borderId="1" xfId="0" applyFont="1" applyBorder="1" applyAlignment="1">
      <alignment horizontal="center" vertical="center"/>
    </xf>
    <xf numFmtId="0" fontId="74" fillId="0" borderId="0" xfId="0" applyFont="1">
      <alignment vertical="center"/>
    </xf>
    <xf numFmtId="0" fontId="98" fillId="0" borderId="1" xfId="0" applyFont="1" applyBorder="1" applyAlignment="1">
      <alignment horizontal="center" vertical="center" wrapText="1"/>
    </xf>
    <xf numFmtId="0" fontId="98" fillId="0" borderId="0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99" fillId="0" borderId="1" xfId="0" applyFont="1" applyBorder="1" applyAlignment="1">
      <alignment horizontal="center" vertical="center"/>
    </xf>
    <xf numFmtId="0" fontId="98" fillId="0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100" fillId="0" borderId="0" xfId="0" applyFont="1">
      <alignment vertical="center"/>
    </xf>
    <xf numFmtId="0" fontId="18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01" fillId="0" borderId="1" xfId="0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01" fillId="0" borderId="4" xfId="0" applyFont="1" applyBorder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82" fillId="0" borderId="0" xfId="0" applyFont="1">
      <alignment vertical="center"/>
    </xf>
    <xf numFmtId="170" fontId="82" fillId="0" borderId="0" xfId="0" applyNumberFormat="1" applyFont="1">
      <alignment vertical="center"/>
    </xf>
    <xf numFmtId="0" fontId="78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101" fillId="0" borderId="0" xfId="0" applyFont="1" applyBorder="1" applyAlignment="1">
      <alignment horizontal="center" vertical="center"/>
    </xf>
    <xf numFmtId="0" fontId="101" fillId="0" borderId="6" xfId="0" applyFont="1" applyBorder="1" applyAlignment="1">
      <alignment horizontal="center" vertical="center"/>
    </xf>
    <xf numFmtId="0" fontId="26" fillId="0" borderId="0" xfId="0" applyFont="1">
      <alignment vertical="center"/>
    </xf>
    <xf numFmtId="0" fontId="104" fillId="0" borderId="1" xfId="0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0" fontId="85" fillId="0" borderId="0" xfId="3" applyFont="1"/>
    <xf numFmtId="0" fontId="21" fillId="0" borderId="1" xfId="3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/>
    </xf>
    <xf numFmtId="9" fontId="67" fillId="0" borderId="0" xfId="0" applyNumberFormat="1" applyFont="1">
      <alignment vertical="center"/>
    </xf>
    <xf numFmtId="10" fontId="67" fillId="0" borderId="0" xfId="0" applyNumberFormat="1" applyFont="1">
      <alignment vertical="center"/>
    </xf>
    <xf numFmtId="170" fontId="26" fillId="0" borderId="0" xfId="0" applyNumberFormat="1" applyFont="1">
      <alignment vertical="center"/>
    </xf>
    <xf numFmtId="0" fontId="39" fillId="0" borderId="1" xfId="0" applyFont="1" applyBorder="1" applyAlignment="1">
      <alignment horizontal="center" vertical="center"/>
    </xf>
    <xf numFmtId="0" fontId="96" fillId="0" borderId="1" xfId="0" applyFont="1" applyFill="1" applyBorder="1" applyAlignment="1">
      <alignment horizontal="center" vertical="center"/>
    </xf>
    <xf numFmtId="170" fontId="25" fillId="0" borderId="1" xfId="0" applyNumberFormat="1" applyFont="1" applyBorder="1" applyAlignment="1">
      <alignment horizontal="center" vertical="center"/>
    </xf>
    <xf numFmtId="0" fontId="96" fillId="0" borderId="0" xfId="0" applyFont="1" applyFill="1" applyBorder="1" applyAlignment="1">
      <alignment horizontal="center" vertical="center"/>
    </xf>
    <xf numFmtId="170" fontId="25" fillId="0" borderId="0" xfId="0" applyNumberFormat="1" applyFont="1" applyBorder="1" applyAlignment="1">
      <alignment horizontal="center" vertical="center"/>
    </xf>
    <xf numFmtId="0" fontId="39" fillId="3" borderId="8" xfId="0" applyFont="1" applyFill="1" applyBorder="1" applyAlignment="1">
      <alignment horizontal="center" vertical="center"/>
    </xf>
    <xf numFmtId="170" fontId="39" fillId="3" borderId="4" xfId="0" applyNumberFormat="1" applyFont="1" applyFill="1" applyBorder="1" applyAlignment="1">
      <alignment horizontal="center" vertical="center"/>
    </xf>
    <xf numFmtId="0" fontId="67" fillId="9" borderId="0" xfId="0" applyFont="1" applyFill="1" applyAlignment="1">
      <alignment horizontal="center" vertical="center"/>
    </xf>
    <xf numFmtId="170" fontId="22" fillId="9" borderId="0" xfId="0" applyNumberFormat="1" applyFont="1" applyFill="1" applyAlignment="1">
      <alignment horizontal="center" vertical="center"/>
    </xf>
    <xf numFmtId="0" fontId="106" fillId="0" borderId="1" xfId="0" applyFont="1" applyFill="1" applyBorder="1" applyAlignment="1">
      <alignment horizontal="center" vertical="center"/>
    </xf>
    <xf numFmtId="170" fontId="22" fillId="0" borderId="1" xfId="0" applyNumberFormat="1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106" fillId="0" borderId="0" xfId="0" applyFont="1" applyFill="1" applyBorder="1" applyAlignment="1">
      <alignment horizontal="center" vertical="center"/>
    </xf>
    <xf numFmtId="0" fontId="74" fillId="0" borderId="0" xfId="0" applyFont="1" applyBorder="1" applyAlignment="1">
      <alignment horizontal="center" vertical="center"/>
    </xf>
    <xf numFmtId="170" fontId="22" fillId="0" borderId="0" xfId="0" applyNumberFormat="1" applyFont="1" applyBorder="1" applyAlignment="1">
      <alignment horizontal="center" vertical="center"/>
    </xf>
    <xf numFmtId="170" fontId="96" fillId="0" borderId="1" xfId="0" applyNumberFormat="1" applyFont="1" applyFill="1" applyBorder="1" applyAlignment="1">
      <alignment horizontal="center" vertical="center"/>
    </xf>
    <xf numFmtId="0" fontId="0" fillId="9" borderId="0" xfId="0" applyFill="1">
      <alignment vertical="center"/>
    </xf>
    <xf numFmtId="170" fontId="67" fillId="0" borderId="0" xfId="0" applyNumberFormat="1" applyFont="1" applyAlignment="1">
      <alignment horizontal="center" vertical="center"/>
    </xf>
    <xf numFmtId="170" fontId="107" fillId="0" borderId="0" xfId="0" applyNumberFormat="1" applyFont="1" applyAlignment="1">
      <alignment horizontal="center" vertical="center"/>
    </xf>
    <xf numFmtId="0" fontId="108" fillId="0" borderId="1" xfId="0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170" fontId="106" fillId="0" borderId="1" xfId="0" applyNumberFormat="1" applyFont="1" applyFill="1" applyBorder="1" applyAlignment="1">
      <alignment horizontal="center" vertical="center"/>
    </xf>
    <xf numFmtId="0" fontId="109" fillId="0" borderId="2" xfId="0" applyFont="1" applyBorder="1">
      <alignment vertical="center"/>
    </xf>
    <xf numFmtId="0" fontId="110" fillId="0" borderId="2" xfId="0" applyFont="1" applyBorder="1">
      <alignment vertical="center"/>
    </xf>
    <xf numFmtId="0" fontId="109" fillId="0" borderId="2" xfId="0" applyFont="1" applyBorder="1" applyAlignment="1">
      <alignment horizontal="center" vertical="center"/>
    </xf>
    <xf numFmtId="0" fontId="111" fillId="0" borderId="2" xfId="0" applyFont="1" applyBorder="1">
      <alignment vertical="center"/>
    </xf>
    <xf numFmtId="0" fontId="110" fillId="6" borderId="2" xfId="0" applyFont="1" applyFill="1" applyBorder="1" applyAlignment="1">
      <alignment horizontal="center" vertical="center"/>
    </xf>
    <xf numFmtId="0" fontId="109" fillId="6" borderId="2" xfId="0" applyFont="1" applyFill="1" applyBorder="1" applyAlignment="1">
      <alignment horizontal="center" vertical="center"/>
    </xf>
    <xf numFmtId="169" fontId="111" fillId="0" borderId="2" xfId="0" applyNumberFormat="1" applyFont="1" applyBorder="1">
      <alignment vertical="center"/>
    </xf>
    <xf numFmtId="0" fontId="110" fillId="26" borderId="2" xfId="0" applyFont="1" applyFill="1" applyBorder="1" applyAlignment="1">
      <alignment horizontal="center" vertical="center"/>
    </xf>
    <xf numFmtId="0" fontId="112" fillId="0" borderId="2" xfId="1" applyFont="1" applyBorder="1" applyAlignment="1">
      <alignment horizontal="center" vertical="center"/>
    </xf>
    <xf numFmtId="0" fontId="113" fillId="3" borderId="2" xfId="0" applyFont="1" applyFill="1" applyBorder="1" applyAlignment="1">
      <alignment horizontal="center" vertical="center"/>
    </xf>
    <xf numFmtId="0" fontId="114" fillId="3" borderId="2" xfId="0" applyFont="1" applyFill="1" applyBorder="1" applyAlignment="1">
      <alignment horizontal="center" vertical="center"/>
    </xf>
    <xf numFmtId="0" fontId="109" fillId="26" borderId="2" xfId="0" applyFont="1" applyFill="1" applyBorder="1" applyAlignment="1">
      <alignment horizontal="center" vertical="center"/>
    </xf>
    <xf numFmtId="0" fontId="115" fillId="3" borderId="2" xfId="0" applyFont="1" applyFill="1" applyBorder="1" applyAlignment="1">
      <alignment horizontal="center" vertical="center"/>
    </xf>
    <xf numFmtId="169" fontId="111" fillId="0" borderId="10" xfId="0" applyNumberFormat="1" applyFont="1" applyBorder="1">
      <alignment vertical="center"/>
    </xf>
    <xf numFmtId="0" fontId="110" fillId="26" borderId="10" xfId="0" applyFont="1" applyFill="1" applyBorder="1" applyAlignment="1">
      <alignment horizontal="center" vertical="center"/>
    </xf>
    <xf numFmtId="0" fontId="114" fillId="0" borderId="10" xfId="0" applyFont="1" applyBorder="1" applyAlignment="1">
      <alignment horizontal="center" vertical="center"/>
    </xf>
    <xf numFmtId="0" fontId="109" fillId="0" borderId="10" xfId="0" applyFont="1" applyBorder="1" applyAlignment="1">
      <alignment horizontal="center" vertical="center"/>
    </xf>
    <xf numFmtId="0" fontId="114" fillId="0" borderId="2" xfId="0" applyFont="1" applyBorder="1" applyAlignment="1">
      <alignment horizontal="center" vertical="center"/>
    </xf>
    <xf numFmtId="14" fontId="109" fillId="9" borderId="2" xfId="0" applyNumberFormat="1" applyFont="1" applyFill="1" applyBorder="1" applyAlignment="1">
      <alignment horizontal="center" vertical="center"/>
    </xf>
    <xf numFmtId="0" fontId="109" fillId="27" borderId="2" xfId="0" applyFont="1" applyFill="1" applyBorder="1" applyAlignment="1">
      <alignment horizontal="center" vertical="center"/>
    </xf>
    <xf numFmtId="0" fontId="109" fillId="3" borderId="2" xfId="0" applyFont="1" applyFill="1" applyBorder="1" applyAlignment="1">
      <alignment horizontal="center" vertical="center"/>
    </xf>
    <xf numFmtId="0" fontId="116" fillId="0" borderId="2" xfId="1" applyFont="1" applyBorder="1" applyAlignment="1">
      <alignment horizontal="center" vertical="center"/>
    </xf>
    <xf numFmtId="0" fontId="117" fillId="0" borderId="2" xfId="1" applyFont="1" applyBorder="1" applyAlignment="1">
      <alignment horizontal="center" vertical="center"/>
    </xf>
    <xf numFmtId="0" fontId="109" fillId="0" borderId="11" xfId="0" applyFont="1" applyFill="1" applyBorder="1" applyAlignment="1">
      <alignment horizontal="center" vertical="center"/>
    </xf>
    <xf numFmtId="0" fontId="115" fillId="0" borderId="2" xfId="0" applyFont="1" applyBorder="1" applyAlignment="1">
      <alignment horizontal="center" vertical="center"/>
    </xf>
    <xf numFmtId="14" fontId="109" fillId="9" borderId="10" xfId="0" applyNumberFormat="1" applyFont="1" applyFill="1" applyBorder="1" applyAlignment="1">
      <alignment horizontal="center" vertical="center"/>
    </xf>
    <xf numFmtId="0" fontId="113" fillId="0" borderId="2" xfId="0" applyFont="1" applyBorder="1" applyAlignment="1">
      <alignment horizontal="center" vertical="center"/>
    </xf>
    <xf numFmtId="0" fontId="109" fillId="0" borderId="2" xfId="0" applyFont="1" applyFill="1" applyBorder="1" applyAlignment="1">
      <alignment horizontal="center" vertical="center"/>
    </xf>
    <xf numFmtId="12" fontId="118" fillId="0" borderId="2" xfId="0" applyNumberFormat="1" applyFont="1" applyBorder="1">
      <alignment vertical="center"/>
    </xf>
    <xf numFmtId="12" fontId="119" fillId="0" borderId="2" xfId="0" applyNumberFormat="1" applyFont="1" applyBorder="1">
      <alignment vertical="center"/>
    </xf>
    <xf numFmtId="0" fontId="110" fillId="0" borderId="2" xfId="0" applyFont="1" applyBorder="1" applyAlignment="1">
      <alignment horizontal="center" vertical="center"/>
    </xf>
    <xf numFmtId="0" fontId="120" fillId="0" borderId="0" xfId="0" applyFont="1">
      <alignment vertical="center"/>
    </xf>
    <xf numFmtId="0" fontId="121" fillId="0" borderId="1" xfId="0" applyFont="1" applyBorder="1">
      <alignment vertical="center"/>
    </xf>
    <xf numFmtId="10" fontId="121" fillId="0" borderId="1" xfId="0" applyNumberFormat="1" applyFont="1" applyBorder="1">
      <alignment vertical="center"/>
    </xf>
    <xf numFmtId="0" fontId="122" fillId="0" borderId="1" xfId="0" applyFont="1" applyBorder="1">
      <alignment vertical="center"/>
    </xf>
    <xf numFmtId="170" fontId="122" fillId="0" borderId="1" xfId="0" applyNumberFormat="1" applyFont="1" applyBorder="1">
      <alignment vertical="center"/>
    </xf>
    <xf numFmtId="0" fontId="121" fillId="3" borderId="1" xfId="0" applyFont="1" applyFill="1" applyBorder="1">
      <alignment vertical="center"/>
    </xf>
    <xf numFmtId="0" fontId="123" fillId="0" borderId="1" xfId="0" applyFont="1" applyBorder="1">
      <alignment vertical="center"/>
    </xf>
    <xf numFmtId="0" fontId="124" fillId="0" borderId="0" xfId="0" applyFont="1" applyFill="1" applyBorder="1">
      <alignment vertical="center"/>
    </xf>
    <xf numFmtId="0" fontId="125" fillId="0" borderId="0" xfId="0" applyFont="1" applyFill="1" applyBorder="1">
      <alignment vertical="center"/>
    </xf>
    <xf numFmtId="0" fontId="126" fillId="0" borderId="0" xfId="0" applyFont="1" applyFill="1" applyBorder="1" applyAlignment="1">
      <alignment horizontal="left" vertical="top" wrapText="1"/>
    </xf>
    <xf numFmtId="0" fontId="126" fillId="28" borderId="0" xfId="0" applyFont="1" applyFill="1" applyAlignment="1">
      <alignment horizontal="center" vertical="center"/>
    </xf>
    <xf numFmtId="0" fontId="126" fillId="29" borderId="1" xfId="0" applyFont="1" applyFill="1" applyBorder="1" applyAlignment="1">
      <alignment horizontal="center" vertical="center"/>
    </xf>
    <xf numFmtId="0" fontId="126" fillId="6" borderId="1" xfId="0" applyFont="1" applyFill="1" applyBorder="1" applyAlignment="1">
      <alignment horizontal="left" vertical="top" wrapText="1"/>
    </xf>
    <xf numFmtId="0" fontId="124" fillId="0" borderId="0" xfId="0" applyFont="1">
      <alignment vertical="center"/>
    </xf>
    <xf numFmtId="0" fontId="102" fillId="0" borderId="0" xfId="0" applyFont="1" applyFill="1" applyBorder="1" applyAlignment="1">
      <alignment horizontal="center" vertical="center"/>
    </xf>
    <xf numFmtId="0" fontId="127" fillId="0" borderId="0" xfId="0" applyFont="1" applyFill="1" applyBorder="1" applyAlignment="1">
      <alignment horizontal="center" vertical="center"/>
    </xf>
    <xf numFmtId="0" fontId="126" fillId="0" borderId="0" xfId="0" applyFont="1" applyAlignment="1">
      <alignment horizontal="center" vertical="center"/>
    </xf>
    <xf numFmtId="0" fontId="128" fillId="0" borderId="1" xfId="0" applyFont="1" applyBorder="1" applyAlignment="1">
      <alignment horizontal="center" vertical="center"/>
    </xf>
    <xf numFmtId="0" fontId="129" fillId="0" borderId="1" xfId="0" applyFont="1" applyBorder="1" applyAlignment="1">
      <alignment horizontal="left" vertical="top"/>
    </xf>
    <xf numFmtId="0" fontId="128" fillId="0" borderId="6" xfId="0" applyFont="1" applyBorder="1" applyAlignment="1">
      <alignment horizontal="center" vertical="center"/>
    </xf>
    <xf numFmtId="0" fontId="129" fillId="0" borderId="6" xfId="0" applyFont="1" applyBorder="1" applyAlignment="1">
      <alignment horizontal="left" vertical="top"/>
    </xf>
    <xf numFmtId="0" fontId="130" fillId="0" borderId="0" xfId="0" applyFont="1" applyFill="1" applyBorder="1" applyAlignment="1">
      <alignment horizontal="center" vertical="center"/>
    </xf>
    <xf numFmtId="0" fontId="128" fillId="0" borderId="3" xfId="0" applyFont="1" applyBorder="1" applyAlignment="1">
      <alignment horizontal="center" vertical="center"/>
    </xf>
    <xf numFmtId="0" fontId="129" fillId="0" borderId="3" xfId="0" applyFont="1" applyBorder="1" applyAlignment="1">
      <alignment horizontal="left" vertical="top"/>
    </xf>
    <xf numFmtId="0" fontId="128" fillId="0" borderId="5" xfId="0" applyFont="1" applyBorder="1" applyAlignment="1">
      <alignment horizontal="center" vertical="center"/>
    </xf>
    <xf numFmtId="0" fontId="129" fillId="0" borderId="5" xfId="0" applyFont="1" applyBorder="1" applyAlignment="1">
      <alignment horizontal="left" vertical="top" wrapText="1"/>
    </xf>
    <xf numFmtId="0" fontId="131" fillId="0" borderId="0" xfId="0" applyFont="1" applyFill="1" applyBorder="1" applyAlignment="1">
      <alignment horizontal="center"/>
    </xf>
    <xf numFmtId="0" fontId="129" fillId="0" borderId="1" xfId="0" applyFont="1" applyBorder="1" applyAlignment="1">
      <alignment horizontal="left" vertical="top" wrapText="1"/>
    </xf>
    <xf numFmtId="0" fontId="132" fillId="0" borderId="0" xfId="0" applyFont="1" applyFill="1" applyBorder="1" applyAlignment="1">
      <alignment horizontal="center"/>
    </xf>
    <xf numFmtId="0" fontId="133" fillId="0" borderId="0" xfId="0" applyFont="1" applyFill="1" applyBorder="1">
      <alignment vertical="center"/>
    </xf>
    <xf numFmtId="0" fontId="134" fillId="0" borderId="0" xfId="0" applyFont="1" applyFill="1" applyBorder="1">
      <alignment vertical="center"/>
    </xf>
    <xf numFmtId="0" fontId="125" fillId="0" borderId="1" xfId="0" applyFont="1" applyBorder="1">
      <alignment vertical="center"/>
    </xf>
    <xf numFmtId="0" fontId="130" fillId="0" borderId="0" xfId="0" applyFont="1" applyFill="1" applyBorder="1" applyAlignment="1">
      <alignment horizontal="center"/>
    </xf>
    <xf numFmtId="0" fontId="128" fillId="3" borderId="1" xfId="0" applyFont="1" applyFill="1" applyBorder="1" applyAlignment="1">
      <alignment horizontal="center" vertical="center"/>
    </xf>
    <xf numFmtId="0" fontId="129" fillId="3" borderId="1" xfId="0" applyFont="1" applyFill="1" applyBorder="1" applyAlignment="1">
      <alignment horizontal="left" vertical="top"/>
    </xf>
    <xf numFmtId="0" fontId="128" fillId="0" borderId="1" xfId="0" applyFont="1" applyBorder="1">
      <alignment vertical="center"/>
    </xf>
    <xf numFmtId="0" fontId="129" fillId="0" borderId="0" xfId="0" applyFont="1" applyBorder="1" applyAlignment="1">
      <alignment horizontal="left" vertical="top"/>
    </xf>
    <xf numFmtId="0" fontId="125" fillId="30" borderId="1" xfId="0" applyFont="1" applyFill="1" applyBorder="1">
      <alignment vertical="center"/>
    </xf>
    <xf numFmtId="0" fontId="129" fillId="30" borderId="1" xfId="0" applyFont="1" applyFill="1" applyBorder="1" applyAlignment="1">
      <alignment horizontal="left" vertical="top"/>
    </xf>
    <xf numFmtId="0" fontId="135" fillId="0" borderId="0" xfId="0" applyFont="1" applyAlignment="1">
      <alignment horizontal="center" vertical="center"/>
    </xf>
    <xf numFmtId="0" fontId="136" fillId="0" borderId="0" xfId="0" applyFont="1">
      <alignment vertical="center"/>
    </xf>
    <xf numFmtId="0" fontId="125" fillId="3" borderId="1" xfId="0" applyFont="1" applyFill="1" applyBorder="1">
      <alignment vertical="center"/>
    </xf>
    <xf numFmtId="0" fontId="137" fillId="3" borderId="1" xfId="0" applyFont="1" applyFill="1" applyBorder="1">
      <alignment vertical="center"/>
    </xf>
    <xf numFmtId="0" fontId="124" fillId="0" borderId="1" xfId="0" applyFont="1" applyBorder="1">
      <alignment vertical="center"/>
    </xf>
    <xf numFmtId="0" fontId="138" fillId="30" borderId="1" xfId="0" applyFont="1" applyFill="1" applyBorder="1" applyAlignment="1">
      <alignment horizontal="left" vertical="top"/>
    </xf>
    <xf numFmtId="0" fontId="139" fillId="0" borderId="1" xfId="0" applyFont="1" applyBorder="1" applyAlignment="1">
      <alignment horizontal="center" vertical="center"/>
    </xf>
    <xf numFmtId="0" fontId="140" fillId="0" borderId="0" xfId="5" applyFont="1"/>
    <xf numFmtId="0" fontId="141" fillId="0" borderId="0" xfId="5" applyFont="1" applyAlignment="1">
      <alignment horizontal="center" vertical="center"/>
    </xf>
    <xf numFmtId="0" fontId="140" fillId="0" borderId="0" xfId="5" applyFont="1" applyAlignment="1">
      <alignment horizontal="center" vertical="center"/>
    </xf>
    <xf numFmtId="0" fontId="142" fillId="0" borderId="0" xfId="5" applyFont="1" applyAlignment="1">
      <alignment horizontal="center" vertical="center"/>
    </xf>
    <xf numFmtId="0" fontId="143" fillId="0" borderId="0" xfId="5" applyFont="1"/>
    <xf numFmtId="0" fontId="140" fillId="0" borderId="1" xfId="5" applyFont="1" applyBorder="1"/>
    <xf numFmtId="0" fontId="142" fillId="0" borderId="1" xfId="5" applyFont="1" applyBorder="1" applyAlignment="1">
      <alignment horizontal="center" vertical="center"/>
    </xf>
    <xf numFmtId="0" fontId="144" fillId="0" borderId="1" xfId="5" applyFont="1" applyFill="1" applyBorder="1" applyAlignment="1"/>
    <xf numFmtId="0" fontId="144" fillId="0" borderId="1" xfId="5" applyFont="1" applyFill="1" applyBorder="1" applyAlignment="1">
      <alignment horizontal="center" vertical="center"/>
    </xf>
    <xf numFmtId="0" fontId="145" fillId="0" borderId="1" xfId="5" applyFont="1" applyBorder="1" applyAlignment="1">
      <alignment horizontal="center" vertical="center"/>
    </xf>
    <xf numFmtId="0" fontId="144" fillId="0" borderId="1" xfId="5" applyFont="1" applyFill="1" applyBorder="1" applyAlignment="1">
      <alignment horizontal="center"/>
    </xf>
    <xf numFmtId="0" fontId="145" fillId="0" borderId="1" xfId="5" applyFont="1" applyBorder="1" applyAlignment="1">
      <alignment horizontal="left" vertical="top"/>
    </xf>
    <xf numFmtId="0" fontId="142" fillId="0" borderId="4" xfId="5" applyFont="1" applyBorder="1" applyAlignment="1">
      <alignment horizontal="center" vertical="center"/>
    </xf>
    <xf numFmtId="0" fontId="142" fillId="0" borderId="1" xfId="5" applyFont="1" applyBorder="1"/>
    <xf numFmtId="0" fontId="145" fillId="0" borderId="4" xfId="5" applyFont="1" applyBorder="1" applyAlignment="1">
      <alignment horizontal="left" vertical="top"/>
    </xf>
    <xf numFmtId="0" fontId="145" fillId="31" borderId="1" xfId="5" applyFont="1" applyFill="1" applyBorder="1" applyAlignment="1">
      <alignment horizontal="center" vertical="center"/>
    </xf>
    <xf numFmtId="0" fontId="144" fillId="0" borderId="1" xfId="5" applyFont="1" applyBorder="1" applyAlignment="1">
      <alignment horizontal="center" vertical="center"/>
    </xf>
    <xf numFmtId="0" fontId="146" fillId="0" borderId="1" xfId="5" applyFont="1" applyBorder="1" applyAlignment="1">
      <alignment horizontal="center" vertical="center"/>
    </xf>
    <xf numFmtId="0" fontId="145" fillId="3" borderId="1" xfId="5" applyFont="1" applyFill="1" applyBorder="1" applyAlignment="1">
      <alignment horizontal="center" vertical="center"/>
    </xf>
    <xf numFmtId="0" fontId="145" fillId="0" borderId="1" xfId="5" applyFont="1" applyFill="1" applyBorder="1" applyAlignment="1">
      <alignment horizontal="left" vertical="top"/>
    </xf>
    <xf numFmtId="0" fontId="142" fillId="26" borderId="1" xfId="5" applyFont="1" applyFill="1" applyBorder="1" applyAlignment="1">
      <alignment horizontal="center" vertical="center"/>
    </xf>
    <xf numFmtId="0" fontId="145" fillId="32" borderId="1" xfId="5" applyFont="1" applyFill="1" applyBorder="1" applyAlignment="1">
      <alignment horizontal="center" vertical="center"/>
    </xf>
    <xf numFmtId="0" fontId="147" fillId="33" borderId="1" xfId="5" applyFont="1" applyFill="1" applyBorder="1" applyAlignment="1">
      <alignment horizontal="center" vertical="center"/>
    </xf>
    <xf numFmtId="0" fontId="140" fillId="0" borderId="1" xfId="5" applyFont="1" applyBorder="1" applyAlignment="1">
      <alignment horizontal="center" vertical="center"/>
    </xf>
    <xf numFmtId="0" fontId="148" fillId="0" borderId="1" xfId="5" applyFont="1" applyBorder="1" applyAlignment="1">
      <alignment horizontal="center" vertical="center"/>
    </xf>
    <xf numFmtId="0" fontId="149" fillId="0" borderId="1" xfId="5" applyFont="1" applyBorder="1" applyAlignment="1">
      <alignment horizontal="left" vertical="top"/>
    </xf>
    <xf numFmtId="0" fontId="149" fillId="0" borderId="0" xfId="5" applyFont="1" applyAlignment="1">
      <alignment horizontal="left" vertical="top"/>
    </xf>
    <xf numFmtId="0" fontId="147" fillId="0" borderId="1" xfId="5" applyFont="1" applyBorder="1" applyAlignment="1">
      <alignment horizontal="center" vertical="center"/>
    </xf>
    <xf numFmtId="0" fontId="150" fillId="0" borderId="0" xfId="5" applyFont="1"/>
    <xf numFmtId="0" fontId="142" fillId="0" borderId="0" xfId="5" applyFont="1"/>
    <xf numFmtId="0" fontId="150" fillId="0" borderId="1" xfId="5" applyFont="1" applyBorder="1" applyAlignment="1">
      <alignment horizontal="center" vertical="center"/>
    </xf>
    <xf numFmtId="0" fontId="148" fillId="3" borderId="0" xfId="5" applyFont="1" applyFill="1" applyAlignment="1">
      <alignment horizontal="center" vertical="center"/>
    </xf>
    <xf numFmtId="0" fontId="151" fillId="0" borderId="1" xfId="5" applyFont="1" applyBorder="1" applyAlignment="1">
      <alignment horizontal="center" vertical="center"/>
    </xf>
    <xf numFmtId="0" fontId="152" fillId="0" borderId="1" xfId="5" applyFont="1" applyBorder="1" applyAlignment="1">
      <alignment horizontal="center" vertical="center"/>
    </xf>
    <xf numFmtId="0" fontId="153" fillId="0" borderId="1" xfId="5" applyFont="1" applyBorder="1" applyAlignment="1">
      <alignment horizontal="center" vertical="center"/>
    </xf>
    <xf numFmtId="0" fontId="154" fillId="0" borderId="1" xfId="5" applyFont="1" applyBorder="1" applyAlignment="1">
      <alignment horizontal="center" vertical="center"/>
    </xf>
    <xf numFmtId="0" fontId="154" fillId="34" borderId="4" xfId="5" applyFont="1" applyFill="1" applyBorder="1" applyAlignment="1">
      <alignment horizontal="center" vertical="center"/>
    </xf>
    <xf numFmtId="0" fontId="141" fillId="0" borderId="1" xfId="5" applyFont="1" applyBorder="1" applyAlignment="1">
      <alignment horizontal="center" vertical="center"/>
    </xf>
    <xf numFmtId="0" fontId="145" fillId="0" borderId="6" xfId="5" applyFont="1" applyBorder="1" applyAlignment="1">
      <alignment horizontal="left" vertical="top"/>
    </xf>
    <xf numFmtId="9" fontId="142" fillId="0" borderId="1" xfId="5" applyNumberFormat="1" applyFont="1" applyBorder="1" applyAlignment="1">
      <alignment horizontal="center" vertical="center"/>
    </xf>
    <xf numFmtId="0" fontId="155" fillId="0" borderId="1" xfId="5" applyFont="1" applyBorder="1" applyAlignment="1">
      <alignment horizontal="left" vertical="top"/>
    </xf>
    <xf numFmtId="0" fontId="156" fillId="9" borderId="0" xfId="3" applyFont="1" applyFill="1"/>
    <xf numFmtId="0" fontId="157" fillId="0" borderId="0" xfId="3" applyFont="1"/>
    <xf numFmtId="0" fontId="158" fillId="0" borderId="0" xfId="3" applyFont="1" applyAlignment="1">
      <alignment horizontal="center" vertical="center"/>
    </xf>
    <xf numFmtId="0" fontId="159" fillId="0" borderId="0" xfId="3" applyFont="1"/>
    <xf numFmtId="0" fontId="157" fillId="0" borderId="0" xfId="3" applyFont="1" applyAlignment="1">
      <alignment horizontal="left" vertical="top"/>
    </xf>
    <xf numFmtId="0" fontId="157" fillId="0" borderId="0" xfId="3" applyFont="1" applyAlignment="1">
      <alignment horizontal="left"/>
    </xf>
    <xf numFmtId="0" fontId="156" fillId="0" borderId="0" xfId="3" applyFont="1"/>
    <xf numFmtId="0" fontId="156" fillId="0" borderId="0" xfId="3" applyFont="1" applyBorder="1"/>
    <xf numFmtId="0" fontId="157" fillId="27" borderId="1" xfId="3" applyFont="1" applyFill="1" applyBorder="1" applyAlignment="1">
      <alignment horizontal="center" vertical="center"/>
    </xf>
    <xf numFmtId="0" fontId="158" fillId="27" borderId="1" xfId="3" applyFont="1" applyFill="1" applyBorder="1" applyAlignment="1">
      <alignment horizontal="center" vertical="center"/>
    </xf>
    <xf numFmtId="0" fontId="159" fillId="27" borderId="1" xfId="3" applyFont="1" applyFill="1" applyBorder="1" applyAlignment="1">
      <alignment horizontal="center" vertical="center"/>
    </xf>
    <xf numFmtId="0" fontId="156" fillId="27" borderId="1" xfId="3" applyFont="1" applyFill="1" applyBorder="1" applyAlignment="1">
      <alignment horizontal="center" vertical="center"/>
    </xf>
    <xf numFmtId="0" fontId="156" fillId="0" borderId="0" xfId="3" applyFont="1" applyBorder="1" applyAlignment="1">
      <alignment horizontal="center" vertical="center"/>
    </xf>
    <xf numFmtId="0" fontId="157" fillId="0" borderId="1" xfId="3" applyFont="1" applyBorder="1"/>
    <xf numFmtId="0" fontId="158" fillId="0" borderId="1" xfId="3" applyFont="1" applyBorder="1" applyAlignment="1">
      <alignment horizontal="center" vertical="center"/>
    </xf>
    <xf numFmtId="0" fontId="159" fillId="0" borderId="1" xfId="3" applyFont="1" applyBorder="1"/>
    <xf numFmtId="0" fontId="157" fillId="26" borderId="1" xfId="3" applyFont="1" applyFill="1" applyBorder="1" applyAlignment="1">
      <alignment horizontal="left" vertical="top"/>
    </xf>
    <xf numFmtId="0" fontId="157" fillId="0" borderId="1" xfId="3" applyFont="1" applyBorder="1" applyAlignment="1">
      <alignment horizontal="left" vertical="center"/>
    </xf>
    <xf numFmtId="0" fontId="157" fillId="0" borderId="1" xfId="3" applyFont="1" applyBorder="1" applyAlignment="1">
      <alignment horizontal="left"/>
    </xf>
    <xf numFmtId="0" fontId="157" fillId="0" borderId="1" xfId="3" applyFont="1" applyBorder="1" applyAlignment="1">
      <alignment horizontal="left" vertical="top"/>
    </xf>
    <xf numFmtId="0" fontId="157" fillId="9" borderId="1" xfId="3" applyFont="1" applyFill="1" applyBorder="1"/>
    <xf numFmtId="0" fontId="158" fillId="9" borderId="1" xfId="3" applyFont="1" applyFill="1" applyBorder="1" applyAlignment="1">
      <alignment horizontal="center" vertical="center"/>
    </xf>
    <xf numFmtId="0" fontId="159" fillId="9" borderId="1" xfId="3" applyFont="1" applyFill="1" applyBorder="1"/>
    <xf numFmtId="0" fontId="157" fillId="9" borderId="1" xfId="3" applyFont="1" applyFill="1" applyBorder="1" applyAlignment="1">
      <alignment horizontal="left" vertical="top"/>
    </xf>
    <xf numFmtId="0" fontId="159" fillId="0" borderId="1" xfId="3" applyFont="1" applyFill="1" applyBorder="1"/>
    <xf numFmtId="0" fontId="157" fillId="0" borderId="1" xfId="3" applyFont="1" applyFill="1" applyBorder="1" applyAlignment="1">
      <alignment horizontal="left" vertical="top"/>
    </xf>
    <xf numFmtId="0" fontId="157" fillId="9" borderId="1" xfId="3" applyFont="1" applyFill="1" applyBorder="1" applyAlignment="1">
      <alignment horizontal="left" vertical="center"/>
    </xf>
    <xf numFmtId="0" fontId="157" fillId="9" borderId="1" xfId="3" applyFont="1" applyFill="1" applyBorder="1" applyAlignment="1">
      <alignment horizontal="left"/>
    </xf>
    <xf numFmtId="0" fontId="157" fillId="0" borderId="1" xfId="3" applyFont="1" applyFill="1" applyBorder="1"/>
    <xf numFmtId="0" fontId="157" fillId="0" borderId="1" xfId="3" applyFont="1" applyFill="1" applyBorder="1" applyAlignment="1">
      <alignment horizontal="center" vertical="center"/>
    </xf>
    <xf numFmtId="0" fontId="156" fillId="3" borderId="0" xfId="3" applyFont="1" applyFill="1"/>
    <xf numFmtId="0" fontId="157" fillId="3" borderId="1" xfId="3" applyFont="1" applyFill="1" applyBorder="1"/>
    <xf numFmtId="0" fontId="158" fillId="3" borderId="1" xfId="3" applyFont="1" applyFill="1" applyBorder="1" applyAlignment="1">
      <alignment horizontal="center" vertical="center"/>
    </xf>
    <xf numFmtId="0" fontId="159" fillId="3" borderId="1" xfId="3" applyFont="1" applyFill="1" applyBorder="1"/>
    <xf numFmtId="0" fontId="157" fillId="3" borderId="1" xfId="3" applyFont="1" applyFill="1" applyBorder="1" applyAlignment="1">
      <alignment horizontal="left" vertical="top"/>
    </xf>
    <xf numFmtId="0" fontId="158" fillId="0" borderId="1" xfId="3" applyFont="1" applyFill="1" applyBorder="1" applyAlignment="1">
      <alignment horizontal="center" vertical="center"/>
    </xf>
    <xf numFmtId="0" fontId="157" fillId="0" borderId="1" xfId="3" applyFont="1" applyFill="1" applyBorder="1" applyAlignment="1">
      <alignment horizontal="left" vertical="center"/>
    </xf>
    <xf numFmtId="0" fontId="157" fillId="0" borderId="1" xfId="3" applyFont="1" applyFill="1" applyBorder="1" applyAlignment="1">
      <alignment horizontal="left"/>
    </xf>
    <xf numFmtId="0" fontId="157" fillId="0" borderId="0" xfId="3" applyFont="1" applyBorder="1" applyAlignment="1">
      <alignment horizontal="left"/>
    </xf>
    <xf numFmtId="0" fontId="157" fillId="0" borderId="0" xfId="3" applyFont="1" applyFill="1" applyBorder="1" applyAlignment="1">
      <alignment horizontal="left" vertical="center"/>
    </xf>
    <xf numFmtId="0" fontId="156" fillId="0" borderId="0" xfId="3" applyFont="1" applyFill="1" applyBorder="1" applyAlignment="1">
      <alignment horizontal="center" vertical="center"/>
    </xf>
    <xf numFmtId="0" fontId="157" fillId="0" borderId="0" xfId="3" applyFont="1" applyFill="1"/>
    <xf numFmtId="0" fontId="159" fillId="0" borderId="1" xfId="3" applyFont="1" applyBorder="1" applyAlignment="1">
      <alignment horizontal="left" vertical="top"/>
    </xf>
    <xf numFmtId="0" fontId="159" fillId="3" borderId="1" xfId="3" applyFont="1" applyFill="1" applyBorder="1" applyAlignment="1">
      <alignment horizontal="left" vertical="top"/>
    </xf>
    <xf numFmtId="0" fontId="157" fillId="9" borderId="1" xfId="3" applyFont="1" applyFill="1" applyBorder="1" applyAlignment="1">
      <alignment horizontal="center" vertical="center"/>
    </xf>
    <xf numFmtId="0" fontId="159" fillId="27" borderId="1" xfId="3" applyFont="1" applyFill="1" applyBorder="1"/>
    <xf numFmtId="0" fontId="156" fillId="0" borderId="1" xfId="3" applyFont="1" applyBorder="1" applyAlignment="1">
      <alignment horizontal="left" vertical="top"/>
    </xf>
    <xf numFmtId="0" fontId="157" fillId="0" borderId="0" xfId="3" applyFont="1" applyFill="1" applyAlignment="1">
      <alignment horizontal="left"/>
    </xf>
    <xf numFmtId="0" fontId="156" fillId="0" borderId="0" xfId="3" applyFont="1" applyFill="1"/>
    <xf numFmtId="0" fontId="156" fillId="9" borderId="0" xfId="3" applyFont="1" applyFill="1" applyBorder="1" applyAlignment="1">
      <alignment horizontal="center" vertical="center"/>
    </xf>
    <xf numFmtId="0" fontId="156" fillId="0" borderId="1" xfId="3" applyFont="1" applyBorder="1" applyAlignment="1">
      <alignment horizontal="left"/>
    </xf>
    <xf numFmtId="0" fontId="160" fillId="0" borderId="1" xfId="3" applyFont="1" applyBorder="1" applyAlignment="1">
      <alignment horizontal="center" vertical="center"/>
    </xf>
    <xf numFmtId="0" fontId="156" fillId="3" borderId="1" xfId="3" applyFont="1" applyFill="1" applyBorder="1" applyAlignment="1">
      <alignment horizontal="left" vertical="center"/>
    </xf>
    <xf numFmtId="0" fontId="160" fillId="3" borderId="1" xfId="3" applyFont="1" applyFill="1" applyBorder="1" applyAlignment="1">
      <alignment horizontal="center" vertical="center"/>
    </xf>
    <xf numFmtId="0" fontId="157" fillId="0" borderId="0" xfId="3" applyFont="1" applyFill="1" applyAlignment="1">
      <alignment horizontal="left" vertical="top"/>
    </xf>
    <xf numFmtId="0" fontId="161" fillId="0" borderId="0" xfId="3" applyFont="1" applyFill="1"/>
    <xf numFmtId="0" fontId="158" fillId="0" borderId="0" xfId="3" applyFont="1" applyFill="1" applyAlignment="1">
      <alignment horizontal="center" vertical="center"/>
    </xf>
    <xf numFmtId="0" fontId="162" fillId="26" borderId="1" xfId="3" applyFont="1" applyFill="1" applyBorder="1" applyAlignment="1">
      <alignment horizontal="left" vertical="top"/>
    </xf>
    <xf numFmtId="0" fontId="163" fillId="0" borderId="0" xfId="0" applyFont="1" applyBorder="1" applyAlignment="1">
      <alignment vertical="center" wrapText="1"/>
    </xf>
    <xf numFmtId="0" fontId="163" fillId="0" borderId="0" xfId="0" applyFont="1" applyBorder="1">
      <alignment vertical="center"/>
    </xf>
    <xf numFmtId="0" fontId="0" fillId="0" borderId="0" xfId="0" applyBorder="1" applyAlignment="1">
      <alignment vertical="center"/>
    </xf>
    <xf numFmtId="0" fontId="82" fillId="0" borderId="0" xfId="0" applyFont="1" applyBorder="1" applyAlignment="1">
      <alignment horizontal="center" vertical="center" wrapText="1"/>
    </xf>
    <xf numFmtId="0" fontId="164" fillId="0" borderId="0" xfId="1" applyFont="1" applyBorder="1" applyAlignment="1">
      <alignment horizontal="center" vertical="center"/>
    </xf>
    <xf numFmtId="0" fontId="165" fillId="0" borderId="0" xfId="1" applyFont="1" applyBorder="1" applyAlignment="1">
      <alignment horizontal="center" vertical="center"/>
    </xf>
    <xf numFmtId="0" fontId="166" fillId="3" borderId="1" xfId="0" applyFont="1" applyFill="1" applyBorder="1" applyAlignment="1"/>
    <xf numFmtId="0" fontId="26" fillId="0" borderId="0" xfId="0" applyFont="1" applyFill="1" applyBorder="1" applyAlignment="1">
      <alignment horizontal="center"/>
    </xf>
    <xf numFmtId="0" fontId="90" fillId="5" borderId="0" xfId="0" applyFont="1" applyFill="1" applyBorder="1" applyAlignment="1">
      <alignment horizontal="center" vertical="center" wrapText="1"/>
    </xf>
    <xf numFmtId="0" fontId="90" fillId="5" borderId="0" xfId="0" applyFont="1" applyFill="1" applyBorder="1" applyAlignment="1">
      <alignment horizontal="center"/>
    </xf>
    <xf numFmtId="0" fontId="167" fillId="5" borderId="0" xfId="0" applyFont="1" applyFill="1" applyBorder="1" applyAlignment="1">
      <alignment horizontal="center" vertical="center"/>
    </xf>
    <xf numFmtId="0" fontId="82" fillId="0" borderId="0" xfId="0" applyFont="1" applyBorder="1">
      <alignment vertical="center"/>
    </xf>
    <xf numFmtId="0" fontId="166" fillId="0" borderId="1" xfId="0" applyFont="1" applyBorder="1" applyAlignment="1"/>
    <xf numFmtId="0" fontId="90" fillId="5" borderId="0" xfId="0" applyFont="1" applyFill="1" applyBorder="1" applyAlignment="1">
      <alignment horizontal="center" vertical="center"/>
    </xf>
    <xf numFmtId="0" fontId="90" fillId="3" borderId="0" xfId="0" applyFont="1" applyFill="1" applyBorder="1" applyAlignment="1">
      <alignment horizontal="center" vertical="center"/>
    </xf>
    <xf numFmtId="0" fontId="82" fillId="3" borderId="0" xfId="0" applyFont="1" applyFill="1" applyBorder="1" applyAlignment="1">
      <alignment horizontal="center" vertical="center"/>
    </xf>
    <xf numFmtId="0" fontId="168" fillId="3" borderId="0" xfId="0" applyFont="1" applyFill="1" applyBorder="1" applyAlignment="1">
      <alignment horizontal="center" vertical="center"/>
    </xf>
    <xf numFmtId="0" fontId="90" fillId="0" borderId="0" xfId="0" applyFont="1" applyBorder="1">
      <alignment vertical="center"/>
    </xf>
    <xf numFmtId="0" fontId="49" fillId="0" borderId="0" xfId="0" applyFont="1" applyBorder="1">
      <alignment vertical="center"/>
    </xf>
    <xf numFmtId="0" fontId="169" fillId="0" borderId="0" xfId="0" applyFont="1" applyBorder="1">
      <alignment vertical="center"/>
    </xf>
    <xf numFmtId="0" fontId="22" fillId="0" borderId="0" xfId="0" applyFont="1" applyBorder="1">
      <alignment vertical="center"/>
    </xf>
    <xf numFmtId="0" fontId="163" fillId="0" borderId="0" xfId="0" applyFont="1">
      <alignment vertical="center"/>
    </xf>
    <xf numFmtId="0" fontId="170" fillId="5" borderId="0" xfId="0" applyFont="1" applyFill="1" applyBorder="1" applyAlignment="1">
      <alignment horizontal="center" vertical="center" wrapText="1"/>
    </xf>
    <xf numFmtId="0" fontId="170" fillId="5" borderId="0" xfId="0" applyFont="1" applyFill="1" applyBorder="1" applyAlignment="1">
      <alignment horizontal="center" vertical="center"/>
    </xf>
    <xf numFmtId="0" fontId="167" fillId="0" borderId="0" xfId="0" applyFont="1" applyFill="1" applyBorder="1" applyAlignment="1">
      <alignment horizontal="center" vertical="center"/>
    </xf>
    <xf numFmtId="0" fontId="167" fillId="5" borderId="0" xfId="0" applyFont="1" applyFill="1" applyBorder="1" applyAlignment="1">
      <alignment horizontal="center"/>
    </xf>
    <xf numFmtId="0" fontId="90" fillId="0" borderId="0" xfId="0" applyFont="1" applyFill="1" applyBorder="1" applyAlignment="1">
      <alignment horizontal="center" vertical="center" wrapText="1"/>
    </xf>
    <xf numFmtId="0" fontId="167" fillId="0" borderId="0" xfId="0" applyFont="1" applyFill="1" applyBorder="1" applyAlignment="1">
      <alignment horizontal="center"/>
    </xf>
    <xf numFmtId="0" fontId="171" fillId="0" borderId="0" xfId="0" applyFont="1" applyFill="1" applyBorder="1" applyAlignment="1">
      <alignment horizontal="center" vertical="center" wrapText="1"/>
    </xf>
    <xf numFmtId="0" fontId="172" fillId="0" borderId="0" xfId="0" applyFont="1" applyFill="1" applyBorder="1" applyAlignment="1">
      <alignment horizontal="center" vertical="center" wrapText="1"/>
    </xf>
    <xf numFmtId="0" fontId="167" fillId="3" borderId="0" xfId="0" applyFont="1" applyFill="1" applyBorder="1" applyAlignment="1">
      <alignment horizontal="center" vertical="center"/>
    </xf>
    <xf numFmtId="0" fontId="172" fillId="3" borderId="0" xfId="0" applyFont="1" applyFill="1" applyBorder="1" applyAlignment="1">
      <alignment horizontal="center" vertical="center" wrapText="1"/>
    </xf>
    <xf numFmtId="0" fontId="167" fillId="3" borderId="0" xfId="0" applyFont="1" applyFill="1" applyBorder="1" applyAlignment="1">
      <alignment horizontal="center"/>
    </xf>
    <xf numFmtId="0" fontId="172" fillId="5" borderId="0" xfId="0" applyFont="1" applyFill="1" applyBorder="1" applyAlignment="1">
      <alignment horizontal="center" vertical="center" wrapText="1"/>
    </xf>
    <xf numFmtId="0" fontId="172" fillId="35" borderId="0" xfId="0" applyFont="1" applyFill="1" applyBorder="1" applyAlignment="1">
      <alignment horizontal="center" vertical="center" wrapText="1"/>
    </xf>
    <xf numFmtId="0" fontId="167" fillId="0" borderId="0" xfId="0" applyFont="1" applyFill="1" applyBorder="1">
      <alignment vertical="center"/>
    </xf>
    <xf numFmtId="0" fontId="90" fillId="0" borderId="0" xfId="0" applyFont="1" applyFill="1" applyBorder="1" applyAlignment="1">
      <alignment horizontal="center" wrapText="1"/>
    </xf>
    <xf numFmtId="0" fontId="173" fillId="0" borderId="0" xfId="0" applyFont="1" applyFill="1" applyBorder="1" applyAlignment="1">
      <alignment horizontal="center" vertical="center" wrapText="1"/>
    </xf>
    <xf numFmtId="49" fontId="167" fillId="0" borderId="0" xfId="0" applyNumberFormat="1" applyFont="1" applyFill="1" applyBorder="1" applyAlignment="1">
      <alignment horizontal="center"/>
    </xf>
    <xf numFmtId="0" fontId="74" fillId="0" borderId="0" xfId="0" applyFont="1" applyBorder="1" applyAlignment="1">
      <alignment vertical="center" wrapText="1"/>
    </xf>
    <xf numFmtId="0" fontId="174" fillId="5" borderId="0" xfId="0" applyFont="1" applyFill="1" applyBorder="1" applyAlignment="1">
      <alignment horizontal="center" vertical="center"/>
    </xf>
    <xf numFmtId="0" fontId="39" fillId="0" borderId="0" xfId="0" applyFont="1" applyBorder="1">
      <alignment vertical="center"/>
    </xf>
    <xf numFmtId="4" fontId="0" fillId="0" borderId="0" xfId="0" applyNumberFormat="1" applyBorder="1">
      <alignment vertical="center"/>
    </xf>
    <xf numFmtId="4" fontId="163" fillId="0" borderId="0" xfId="0" applyNumberFormat="1" applyFont="1" applyBorder="1" applyAlignment="1">
      <alignment vertical="center" wrapText="1"/>
    </xf>
    <xf numFmtId="4" fontId="163" fillId="0" borderId="0" xfId="0" applyNumberFormat="1" applyFont="1" applyBorder="1">
      <alignment vertical="center"/>
    </xf>
    <xf numFmtId="4" fontId="0" fillId="0" borderId="0" xfId="0" applyNumberFormat="1" applyFont="1" applyBorder="1">
      <alignment vertical="center"/>
    </xf>
    <xf numFmtId="0" fontId="126" fillId="0" borderId="0" xfId="0" applyFont="1" applyFill="1" applyBorder="1" applyAlignment="1">
      <alignment horizontal="left" vertical="top"/>
    </xf>
    <xf numFmtId="0" fontId="126" fillId="6" borderId="1" xfId="0" applyFont="1" applyFill="1" applyBorder="1" applyAlignment="1">
      <alignment horizontal="left" vertical="top"/>
    </xf>
    <xf numFmtId="0" fontId="129" fillId="0" borderId="5" xfId="0" applyFont="1" applyBorder="1" applyAlignment="1">
      <alignment horizontal="left" vertical="top"/>
    </xf>
    <xf numFmtId="0" fontId="126" fillId="0" borderId="0" xfId="0" applyFont="1">
      <alignment vertical="center"/>
    </xf>
    <xf numFmtId="0" fontId="128" fillId="0" borderId="1" xfId="0" applyFont="1" applyFill="1" applyBorder="1" applyAlignment="1">
      <alignment horizontal="center" vertical="center"/>
    </xf>
    <xf numFmtId="0" fontId="129" fillId="0" borderId="1" xfId="0" applyFont="1" applyFill="1" applyBorder="1" applyAlignment="1">
      <alignment horizontal="left" vertical="top"/>
    </xf>
    <xf numFmtId="0" fontId="126" fillId="3" borderId="0" xfId="0" applyFont="1" applyFill="1" applyBorder="1" applyAlignment="1">
      <alignment horizontal="left" vertical="top"/>
    </xf>
    <xf numFmtId="0" fontId="175" fillId="0" borderId="0" xfId="0" applyFont="1">
      <alignment vertical="center"/>
    </xf>
    <xf numFmtId="0" fontId="176" fillId="26" borderId="1" xfId="0" applyFont="1" applyFill="1" applyBorder="1" applyAlignment="1">
      <alignment horizontal="left" vertical="top"/>
    </xf>
    <xf numFmtId="14" fontId="135" fillId="3" borderId="0" xfId="0" applyNumberFormat="1" applyFont="1" applyFill="1" applyAlignment="1">
      <alignment horizontal="left" vertical="top"/>
    </xf>
    <xf numFmtId="0" fontId="129" fillId="3" borderId="1" xfId="0" applyFont="1" applyFill="1" applyBorder="1" applyAlignment="1">
      <alignment horizontal="left" vertical="top" wrapText="1"/>
    </xf>
    <xf numFmtId="0" fontId="126" fillId="3" borderId="1" xfId="0" applyFont="1" applyFill="1" applyBorder="1" applyAlignment="1">
      <alignment horizontal="left" vertical="top"/>
    </xf>
    <xf numFmtId="0" fontId="101" fillId="0" borderId="0" xfId="0" applyFont="1" applyAlignment="1">
      <alignment horizontal="left" vertical="top"/>
    </xf>
    <xf numFmtId="0" fontId="110" fillId="0" borderId="1" xfId="0" applyFont="1" applyBorder="1" applyAlignment="1">
      <alignment horizontal="left" vertical="top"/>
    </xf>
    <xf numFmtId="0" fontId="110" fillId="0" borderId="0" xfId="0" applyFont="1" applyAlignment="1">
      <alignment horizontal="left" vertical="top"/>
    </xf>
    <xf numFmtId="0" fontId="177" fillId="0" borderId="1" xfId="0" applyFont="1" applyBorder="1" applyAlignment="1">
      <alignment horizontal="left" vertical="top"/>
    </xf>
    <xf numFmtId="0" fontId="177" fillId="0" borderId="1" xfId="0" applyFont="1" applyBorder="1" applyAlignment="1">
      <alignment horizontal="left" vertical="top" wrapText="1"/>
    </xf>
    <xf numFmtId="0" fontId="178" fillId="0" borderId="0" xfId="0" applyFont="1" applyAlignment="1">
      <alignment vertical="center"/>
    </xf>
    <xf numFmtId="0" fontId="49" fillId="0" borderId="0" xfId="0" applyFont="1" applyAlignment="1">
      <alignment horizontal="left" vertical="top"/>
    </xf>
    <xf numFmtId="0" fontId="179" fillId="0" borderId="1" xfId="0" applyFont="1" applyFill="1" applyBorder="1" applyAlignment="1">
      <alignment horizontal="center" vertical="center"/>
    </xf>
    <xf numFmtId="0" fontId="75" fillId="0" borderId="0" xfId="0" applyFont="1" applyAlignment="1">
      <alignment horizontal="left" vertical="top"/>
    </xf>
    <xf numFmtId="0" fontId="180" fillId="0" borderId="0" xfId="0" applyFont="1" applyAlignment="1">
      <alignment horizontal="center" vertical="center"/>
    </xf>
    <xf numFmtId="0" fontId="178" fillId="0" borderId="0" xfId="0" applyFont="1" applyBorder="1" applyAlignment="1">
      <alignment horizontal="center" vertical="center"/>
    </xf>
    <xf numFmtId="0" fontId="181" fillId="0" borderId="1" xfId="0" applyFont="1" applyBorder="1" applyAlignment="1">
      <alignment horizontal="center" vertical="center"/>
    </xf>
    <xf numFmtId="0" fontId="182" fillId="36" borderId="1" xfId="0" applyFont="1" applyFill="1" applyBorder="1" applyAlignment="1">
      <alignment horizontal="center" vertical="top"/>
    </xf>
    <xf numFmtId="0" fontId="183" fillId="36" borderId="1" xfId="0" applyFont="1" applyFill="1" applyBorder="1" applyAlignment="1">
      <alignment horizontal="center" vertical="top" wrapText="1"/>
    </xf>
    <xf numFmtId="0" fontId="181" fillId="0" borderId="1" xfId="0" applyFont="1" applyBorder="1" applyAlignment="1">
      <alignment horizontal="left" vertical="top"/>
    </xf>
    <xf numFmtId="0" fontId="184" fillId="9" borderId="1" xfId="0" applyFont="1" applyFill="1" applyBorder="1" applyAlignment="1">
      <alignment horizontal="center" vertical="center" wrapText="1"/>
    </xf>
    <xf numFmtId="0" fontId="185" fillId="36" borderId="1" xfId="0" applyFont="1" applyFill="1" applyBorder="1" applyAlignment="1">
      <alignment horizontal="center" vertical="top"/>
    </xf>
    <xf numFmtId="0" fontId="186" fillId="0" borderId="1" xfId="0" applyFont="1" applyFill="1" applyBorder="1" applyAlignment="1">
      <alignment horizontal="center" vertical="center"/>
    </xf>
    <xf numFmtId="0" fontId="75" fillId="0" borderId="0" xfId="0" applyFont="1">
      <alignment vertical="center"/>
    </xf>
    <xf numFmtId="0" fontId="179" fillId="36" borderId="1" xfId="0" applyFont="1" applyFill="1" applyBorder="1" applyAlignment="1">
      <alignment horizontal="center" vertical="top" wrapText="1"/>
    </xf>
    <xf numFmtId="170" fontId="187" fillId="0" borderId="1" xfId="0" applyNumberFormat="1" applyFont="1" applyBorder="1" applyAlignment="1">
      <alignment horizontal="center" vertical="center"/>
    </xf>
    <xf numFmtId="0" fontId="188" fillId="0" borderId="0" xfId="0" applyFont="1" applyFill="1">
      <alignment vertical="center"/>
    </xf>
    <xf numFmtId="0" fontId="183" fillId="3" borderId="1" xfId="0" applyFont="1" applyFill="1" applyBorder="1" applyAlignment="1">
      <alignment horizontal="center" vertical="center"/>
    </xf>
    <xf numFmtId="0" fontId="189" fillId="0" borderId="0" xfId="0" applyFont="1">
      <alignment vertical="center"/>
    </xf>
    <xf numFmtId="0" fontId="185" fillId="3" borderId="1" xfId="0" applyFont="1" applyFill="1" applyBorder="1" applyAlignment="1">
      <alignment horizontal="center" vertical="center"/>
    </xf>
    <xf numFmtId="0" fontId="190" fillId="0" borderId="0" xfId="0" applyFont="1" applyAlignment="1">
      <alignment vertical="center"/>
    </xf>
    <xf numFmtId="0" fontId="191" fillId="0" borderId="0" xfId="0" applyFont="1">
      <alignment vertical="center"/>
    </xf>
    <xf numFmtId="0" fontId="182" fillId="9" borderId="1" xfId="0" applyFont="1" applyFill="1" applyBorder="1" applyAlignment="1">
      <alignment horizontal="center" vertical="top" wrapText="1"/>
    </xf>
    <xf numFmtId="0" fontId="192" fillId="3" borderId="1" xfId="0" applyFont="1" applyFill="1" applyBorder="1" applyAlignment="1">
      <alignment horizontal="center" vertical="center"/>
    </xf>
    <xf numFmtId="0" fontId="192" fillId="3" borderId="1" xfId="0" applyFont="1" applyFill="1" applyBorder="1" applyAlignment="1">
      <alignment horizontal="center" vertical="top" wrapText="1"/>
    </xf>
    <xf numFmtId="0" fontId="192" fillId="0" borderId="1" xfId="0" applyFont="1" applyFill="1" applyBorder="1" applyAlignment="1">
      <alignment horizontal="center" vertical="center"/>
    </xf>
    <xf numFmtId="0" fontId="192" fillId="0" borderId="1" xfId="0" applyFont="1" applyBorder="1" applyAlignment="1">
      <alignment horizontal="center" vertical="center"/>
    </xf>
    <xf numFmtId="0" fontId="179" fillId="0" borderId="1" xfId="0" applyFont="1" applyBorder="1" applyAlignment="1">
      <alignment horizontal="center" vertical="center"/>
    </xf>
    <xf numFmtId="0" fontId="193" fillId="0" borderId="0" xfId="0" applyFont="1" applyFill="1">
      <alignment vertical="center"/>
    </xf>
    <xf numFmtId="2" fontId="178" fillId="0" borderId="0" xfId="0" applyNumberFormat="1" applyFont="1" applyBorder="1" applyAlignment="1">
      <alignment horizontal="center" vertical="center"/>
    </xf>
    <xf numFmtId="170" fontId="181" fillId="0" borderId="1" xfId="0" applyNumberFormat="1" applyFont="1" applyBorder="1" applyAlignment="1">
      <alignment horizontal="center" vertical="center"/>
    </xf>
    <xf numFmtId="0" fontId="193" fillId="0" borderId="0" xfId="0" applyFont="1" applyAlignment="1">
      <alignment vertical="center"/>
    </xf>
    <xf numFmtId="0" fontId="193" fillId="0" borderId="0" xfId="0" applyFont="1">
      <alignment vertical="center"/>
    </xf>
    <xf numFmtId="0" fontId="194" fillId="0" borderId="0" xfId="0" applyFont="1" applyAlignment="1">
      <alignment vertical="center"/>
    </xf>
    <xf numFmtId="0" fontId="195" fillId="0" borderId="1" xfId="0" applyFont="1" applyBorder="1" applyAlignment="1">
      <alignment vertical="center"/>
    </xf>
    <xf numFmtId="0" fontId="196" fillId="0" borderId="1" xfId="1" applyFont="1" applyBorder="1" applyAlignment="1">
      <alignment vertical="center"/>
    </xf>
    <xf numFmtId="0" fontId="24" fillId="0" borderId="0" xfId="1" applyAlignment="1">
      <alignment vertical="center"/>
    </xf>
    <xf numFmtId="0" fontId="193" fillId="0" borderId="0" xfId="0" applyFont="1" applyFill="1" applyAlignment="1">
      <alignment vertical="center"/>
    </xf>
    <xf numFmtId="0" fontId="184" fillId="3" borderId="1" xfId="0" applyFont="1" applyFill="1" applyBorder="1" applyAlignment="1">
      <alignment horizontal="center" vertical="center"/>
    </xf>
    <xf numFmtId="0" fontId="79" fillId="3" borderId="1" xfId="0" applyFont="1" applyFill="1" applyBorder="1" applyAlignment="1">
      <alignment horizontal="center" vertical="center"/>
    </xf>
    <xf numFmtId="0" fontId="197" fillId="0" borderId="0" xfId="0" applyFont="1">
      <alignment vertical="center"/>
    </xf>
    <xf numFmtId="0" fontId="198" fillId="0" borderId="0" xfId="0" applyFont="1">
      <alignment vertical="center"/>
    </xf>
    <xf numFmtId="14" fontId="199" fillId="3" borderId="1" xfId="0" applyNumberFormat="1" applyFont="1" applyFill="1" applyBorder="1" applyAlignment="1">
      <alignment horizontal="center" vertical="center"/>
    </xf>
    <xf numFmtId="14" fontId="199" fillId="3" borderId="0" xfId="0" applyNumberFormat="1" applyFont="1" applyFill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170" fontId="181" fillId="0" borderId="0" xfId="0" applyNumberFormat="1" applyFont="1" applyBorder="1" applyAlignment="1">
      <alignment horizontal="center" vertical="center"/>
    </xf>
    <xf numFmtId="0" fontId="200" fillId="0" borderId="0" xfId="0" applyFont="1">
      <alignment vertical="center"/>
    </xf>
    <xf numFmtId="0" fontId="89" fillId="0" borderId="1" xfId="0" applyFont="1" applyBorder="1" applyAlignment="1">
      <alignment horizontal="center" vertical="center"/>
    </xf>
    <xf numFmtId="0" fontId="201" fillId="0" borderId="1" xfId="0" applyFont="1" applyFill="1" applyBorder="1" applyAlignment="1">
      <alignment horizontal="center" vertical="center"/>
    </xf>
    <xf numFmtId="14" fontId="202" fillId="0" borderId="1" xfId="0" applyNumberFormat="1" applyFont="1" applyFill="1" applyBorder="1" applyAlignment="1">
      <alignment horizontal="center" vertical="center"/>
    </xf>
    <xf numFmtId="0" fontId="184" fillId="0" borderId="1" xfId="0" applyFont="1" applyFill="1" applyBorder="1" applyAlignment="1">
      <alignment horizontal="center" vertical="center"/>
    </xf>
    <xf numFmtId="0" fontId="49" fillId="0" borderId="0" xfId="0" applyFont="1" applyFill="1">
      <alignment vertical="center"/>
    </xf>
    <xf numFmtId="0" fontId="109" fillId="0" borderId="2" xfId="0" quotePrefix="1" applyFont="1" applyBorder="1" applyAlignment="1">
      <alignment horizontal="center" vertical="center"/>
    </xf>
    <xf numFmtId="0" fontId="0" fillId="0" borderId="0" xfId="0" quotePrefix="1">
      <alignment vertical="center"/>
    </xf>
    <xf numFmtId="2" fontId="26" fillId="0" borderId="0" xfId="0" quotePrefix="1" applyNumberFormat="1" applyFont="1">
      <alignment vertical="center"/>
    </xf>
    <xf numFmtId="0" fontId="127" fillId="0" borderId="0" xfId="0" applyFont="1" applyFill="1" applyBorder="1" applyAlignment="1">
      <alignment horizontal="center" vertical="center"/>
    </xf>
    <xf numFmtId="0" fontId="142" fillId="2" borderId="4" xfId="5" applyFont="1" applyFill="1" applyBorder="1" applyAlignment="1">
      <alignment horizontal="center" vertical="center"/>
    </xf>
    <xf numFmtId="0" fontId="142" fillId="2" borderId="1" xfId="5" applyFont="1" applyFill="1" applyBorder="1" applyAlignment="1">
      <alignment horizontal="center" vertical="center"/>
    </xf>
    <xf numFmtId="0" fontId="105" fillId="6" borderId="0" xfId="0" applyFont="1" applyFill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4" borderId="1" xfId="3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</cellXfs>
  <cellStyles count="6">
    <cellStyle name="Hyperlink" xfId="1" builtinId="8"/>
    <cellStyle name="Normal" xfId="0" builtinId="0"/>
    <cellStyle name="Normal 2" xfId="4"/>
    <cellStyle name="Normal 3" xfId="5"/>
    <cellStyle name="Normal 4" xfId="3"/>
    <cellStyle name="Normal 5" xfId="2"/>
  </cellStyles>
  <dxfs count="1">
    <dxf>
      <fill>
        <patternFill patternType="solid">
          <bgColor rgb="FFFF9900"/>
        </patternFill>
      </fill>
    </dxf>
  </dxfs>
  <tableStyles count="0" defaultTableStyle="TableStyleMedium2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72602</xdr:colOff>
      <xdr:row>3</xdr:row>
      <xdr:rowOff>65635</xdr:rowOff>
    </xdr:from>
    <xdr:to>
      <xdr:col>1</xdr:col>
      <xdr:colOff>9197224</xdr:colOff>
      <xdr:row>13</xdr:row>
      <xdr:rowOff>35698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77265" y="836930"/>
          <a:ext cx="9124315" cy="515175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3</xdr:col>
      <xdr:colOff>513061</xdr:colOff>
      <xdr:row>46</xdr:row>
      <xdr:rowOff>5855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04875" y="7667625"/>
          <a:ext cx="14123670" cy="82543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10791265</xdr:colOff>
      <xdr:row>90</xdr:row>
      <xdr:rowOff>140075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04875" y="17230725"/>
          <a:ext cx="10791190" cy="7931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10877002</xdr:colOff>
      <xdr:row>138</xdr:row>
      <xdr:rowOff>101970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04875" y="26650950"/>
          <a:ext cx="10876915" cy="7893050"/>
        </a:xfrm>
        <a:prstGeom prst="rect">
          <a:avLst/>
        </a:prstGeom>
      </xdr:spPr>
    </xdr:pic>
    <xdr:clientData/>
  </xdr:twoCellAnchor>
  <xdr:twoCellAnchor editAs="oneCell">
    <xdr:from>
      <xdr:col>1</xdr:col>
      <xdr:colOff>258536</xdr:colOff>
      <xdr:row>140</xdr:row>
      <xdr:rowOff>0</xdr:rowOff>
    </xdr:from>
    <xdr:to>
      <xdr:col>1</xdr:col>
      <xdr:colOff>9861853</xdr:colOff>
      <xdr:row>176</xdr:row>
      <xdr:rowOff>45258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63320" y="34766250"/>
          <a:ext cx="9603105" cy="6474460"/>
        </a:xfrm>
        <a:prstGeom prst="rect">
          <a:avLst/>
        </a:prstGeom>
      </xdr:spPr>
    </xdr:pic>
    <xdr:clientData/>
  </xdr:twoCellAnchor>
  <xdr:twoCellAnchor editAs="oneCell">
    <xdr:from>
      <xdr:col>1</xdr:col>
      <xdr:colOff>434193</xdr:colOff>
      <xdr:row>177</xdr:row>
      <xdr:rowOff>258518</xdr:rowOff>
    </xdr:from>
    <xdr:to>
      <xdr:col>1</xdr:col>
      <xdr:colOff>9784773</xdr:colOff>
      <xdr:row>203</xdr:row>
      <xdr:rowOff>151950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38580" y="41615995"/>
          <a:ext cx="9351010" cy="47034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86590</xdr:rowOff>
    </xdr:from>
    <xdr:to>
      <xdr:col>1</xdr:col>
      <xdr:colOff>12485962</xdr:colOff>
      <xdr:row>262</xdr:row>
      <xdr:rowOff>36633</xdr:rowOff>
    </xdr:to>
    <xdr:pic>
      <xdr:nvPicPr>
        <xdr:cNvPr id="8" name="Picture 7" descr="Screenshot 2025-09-12 144932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04875" y="47987585"/>
          <a:ext cx="12485370" cy="8369935"/>
        </a:xfrm>
        <a:prstGeom prst="rect">
          <a:avLst/>
        </a:prstGeom>
      </xdr:spPr>
    </xdr:pic>
    <xdr:clientData/>
  </xdr:twoCellAnchor>
  <xdr:twoCellAnchor editAs="oneCell">
    <xdr:from>
      <xdr:col>1</xdr:col>
      <xdr:colOff>900545</xdr:colOff>
      <xdr:row>266</xdr:row>
      <xdr:rowOff>17317</xdr:rowOff>
    </xdr:from>
    <xdr:to>
      <xdr:col>1</xdr:col>
      <xdr:colOff>11707090</xdr:colOff>
      <xdr:row>308</xdr:row>
      <xdr:rowOff>121225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805305" y="56986170"/>
          <a:ext cx="10806430" cy="69043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4</xdr:col>
      <xdr:colOff>414215</xdr:colOff>
      <xdr:row>363</xdr:row>
      <xdr:rowOff>23505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04875" y="72189975"/>
          <a:ext cx="14634845" cy="7233920"/>
        </a:xfrm>
        <a:prstGeom prst="rect">
          <a:avLst/>
        </a:prstGeom>
      </xdr:spPr>
    </xdr:pic>
    <xdr:clientData/>
  </xdr:twoCellAnchor>
  <xdr:twoCellAnchor editAs="oneCell">
    <xdr:from>
      <xdr:col>1</xdr:col>
      <xdr:colOff>623455</xdr:colOff>
      <xdr:row>370</xdr:row>
      <xdr:rowOff>138545</xdr:rowOff>
    </xdr:from>
    <xdr:to>
      <xdr:col>2</xdr:col>
      <xdr:colOff>161925</xdr:colOff>
      <xdr:row>409</xdr:row>
      <xdr:rowOff>117763</xdr:rowOff>
    </xdr:to>
    <xdr:pic>
      <xdr:nvPicPr>
        <xdr:cNvPr id="11" name="Picture 10" descr="image.pn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27810" y="81272380"/>
          <a:ext cx="12540615" cy="6294120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Adjacency">
      <a:dk1>
        <a:srgbClr val="2F2B20"/>
      </a:dk1>
      <a:lt1>
        <a:srgbClr val="FFFFFF"/>
      </a:lt1>
      <a:dk2>
        <a:srgbClr val="675E47"/>
      </a:dk2>
      <a:lt2>
        <a:srgbClr val="DFDCB7"/>
      </a:lt2>
      <a:accent1>
        <a:srgbClr val="A9A57C"/>
      </a:accent1>
      <a:accent2>
        <a:srgbClr val="9CBEBD"/>
      </a:accent2>
      <a:accent3>
        <a:srgbClr val="D2CB6C"/>
      </a:accent3>
      <a:accent4>
        <a:srgbClr val="95A39D"/>
      </a:accent4>
      <a:accent5>
        <a:srgbClr val="C89F5D"/>
      </a:accent5>
      <a:accent6>
        <a:srgbClr val="B1A089"/>
      </a:accent6>
      <a:hlink>
        <a:srgbClr val="D25814"/>
      </a:hlink>
      <a:folHlink>
        <a:srgbClr val="849A0A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@#10293847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waybillgst.gov.in/Others/P2PDistance.aspx" TargetMode="External"/><Relationship Id="rId3" Type="http://schemas.openxmlformats.org/officeDocument/2006/relationships/hyperlink" Target="https://www.knowyourgst.com/gst-number-search/ats-cargo-private-limited-27AAJCA4788P1ZR/" TargetMode="External"/><Relationship Id="rId7" Type="http://schemas.openxmlformats.org/officeDocument/2006/relationships/hyperlink" Target="https://services.gst.gov.in/services/searchtp" TargetMode="External"/><Relationship Id="rId2" Type="http://schemas.openxmlformats.org/officeDocument/2006/relationships/hyperlink" Target="https://www.knowyourgst.com/gst-number-search/shree-harsiddhi-transport-24AMTPP6931G2ZL/" TargetMode="External"/><Relationship Id="rId1" Type="http://schemas.openxmlformats.org/officeDocument/2006/relationships/hyperlink" Target="https://www.knowyourgst.com/gst-number-search/shree-harsiddhi-transport-24AMTPP6931G2ZL/" TargetMode="External"/><Relationship Id="rId6" Type="http://schemas.openxmlformats.org/officeDocument/2006/relationships/hyperlink" Target="https://www.carinfo.app/rto-vehicle-registration-detail" TargetMode="External"/><Relationship Id="rId5" Type="http://schemas.openxmlformats.org/officeDocument/2006/relationships/hyperlink" Target="https://www.knowyourgst.com/gst-number-search/the-civil-surgeon-cum-superintendent-district-hospital-khandwa-23BPLC00921E1DW/" TargetMode="External"/><Relationship Id="rId4" Type="http://schemas.openxmlformats.org/officeDocument/2006/relationships/hyperlink" Target="https://www.knowyourgst.com/gst-number-search/kashish-roadways-27EWXPM3512C1ZC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../../../AppData/Roaming/Microsoft/CARE4%20SIGHT%20EXPORT%20-%20TAX%20INVOICE%20-%20CUSTOM%20INVOICE/EXPORT%20-Care4%20Sight%20Dt%20-/CARE4%20SIGHT%20%20TO%20%20SUBMISSION%20TO%20ACCOUNT/ACCOUNT%20_____/DOMESTIC/DB2426600472.pdf" TargetMode="External"/><Relationship Id="rId3" Type="http://schemas.openxmlformats.org/officeDocument/2006/relationships/hyperlink" Target="../../../AppData/Roaming/Microsoft/CARE4%20SIGHT%20EXPORT%20-%20TAX%20INVOICE%20-%20CUSTOM%20INVOICE/EXPORT%20-Care4%20Sight%20Dt%20-/EX2426600111%20-%20G.S.OPTIXX%20LTD%20-%20ISRAEL/EX2426600111%20-%20T%20.%20INV.pdf" TargetMode="External"/><Relationship Id="rId7" Type="http://schemas.openxmlformats.org/officeDocument/2006/relationships/hyperlink" Target="..\..\..\AppData\Roaming\Microsoft\CARE4%20SIGHT%20EXPORT%20-%20TAX%20INVOICE%20-%20CUSTOM%20INVOICE\EXPORT%20-Care4%20Sight%20Dt%20-\CARE4%20SIGHT%20%20TO%20%20SUBMISSION%20TO%20ACCOUNT\ACCOUNT%20_____\EXPORT\EX2426600110%20-%20TAX%20INVOICE.pdf" TargetMode="External"/><Relationship Id="rId2" Type="http://schemas.openxmlformats.org/officeDocument/2006/relationships/hyperlink" Target="../../../AppData/Roaming/Microsoft/CARE4%20SIGHT%20EXPORT%20-%20TAX%20INVOICE%20-%20CUSTOM%20INVOICE/EXPORT%20-Care4%20Sight%20Dt%20-/EX2426600111%20-%20G.S.OPTIXX%20LTD%20-%20ISRAEL/EX2426600111%20-%20T%20.%20INV.pdf" TargetMode="External"/><Relationship Id="rId1" Type="http://schemas.openxmlformats.org/officeDocument/2006/relationships/hyperlink" Target="../../../AppData/Roaming/Microsoft/SAP%20-%20CPPL%20-%20TAX%20INVOICE/Domestic%20-TAX%20INVOICE-%2001.04.2025%20%20to%20continues%20%20-%20TAX%20INVOICE/DB2426600473%20-%20CPPL%20TO%20THIRD%20PARTY%20%20-%20DEXA%20CARE%20PVT.%20LTD%20-%20T.%20INV%20-%20DT" TargetMode="External"/><Relationship Id="rId6" Type="http://schemas.openxmlformats.org/officeDocument/2006/relationships/hyperlink" Target="../../../gautam.CGSSPLADDOMAIN/Desktop/FILE/CARE4%20SIGHT%20EXPORT%20-%20TAX%20INVOICE%20-%20CUSTOM%20INVOICE/EXPORT%20-Care4%20Sight%20Dt%20-/CARE4%20SIGHT%20%20TO%20%20SUBMISSION%20TO%20ACCOUNT/ACCOUNT%20_____/DOMESTIC/DB2426600468.pdf" TargetMode="External"/><Relationship Id="rId5" Type="http://schemas.openxmlformats.org/officeDocument/2006/relationships/hyperlink" Target="../../../AppData/Roaming/Microsoft/SAP%20-%20CPPL%20-%20TAX%20INVOICE/Domestic%20-TAX%20INVOICE-%2001.04.2025%20%20to%20continues%20%20-%20TAX%20INVOICE/DB2426600473%20-%20CPPL%20TO%20THIRD%20PARTY%20%20-%20DEXA%20CARE%20PVT.%20LTD%20-%20T.%20INV%20-%20DT" TargetMode="External"/><Relationship Id="rId4" Type="http://schemas.openxmlformats.org/officeDocument/2006/relationships/hyperlink" Target="../../../AppData/Roaming/Microsoft/CARE4%20SIGHT%20EXPORT%20-%20TAX%20INVOICE%20-%20CUSTOM%20INVOICE/EXPORT%20-Care4%20Sight%20Dt%20-/EX2426600129%20-%20I-SENZ%20MEDICAL,INC%20-%209%20BOX%20-%20BY%20ANITA%20LOGISTIC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num2word.com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smallpdf.com/pdf-to-word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hyperlink" Target="mailto:.borsad@12" TargetMode="External"/><Relationship Id="rId1" Type="http://schemas.openxmlformats.org/officeDocument/2006/relationships/hyperlink" Target="mailto:Gautamvala777@outlook.com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mailto:balvant.padhiyar@caregroupiol.com" TargetMode="External"/><Relationship Id="rId3" Type="http://schemas.openxmlformats.org/officeDocument/2006/relationships/hyperlink" Target="mailto:rajendra.sutar@caregroupiol.com" TargetMode="External"/><Relationship Id="rId7" Type="http://schemas.openxmlformats.org/officeDocument/2006/relationships/hyperlink" Target="mailto:shailendra.singh@caregroupiol.com" TargetMode="External"/><Relationship Id="rId2" Type="http://schemas.openxmlformats.org/officeDocument/2006/relationships/hyperlink" Target="mailto:ketan.kotharia@caregroupiol.com" TargetMode="External"/><Relationship Id="rId1" Type="http://schemas.openxmlformats.org/officeDocument/2006/relationships/hyperlink" Target="mailto:yusaf.macwan@caregroupiol.com" TargetMode="External"/><Relationship Id="rId6" Type="http://schemas.openxmlformats.org/officeDocument/2006/relationships/hyperlink" Target="mailto:aliasgar.dholkawala@caregroupiol.com" TargetMode="External"/><Relationship Id="rId5" Type="http://schemas.openxmlformats.org/officeDocument/2006/relationships/hyperlink" Target="mailto:cod.fg@caregroupiol.com" TargetMode="External"/><Relationship Id="rId10" Type="http://schemas.openxmlformats.org/officeDocument/2006/relationships/hyperlink" Target="mailto:yusaf.macwan@caregroupiol.com" TargetMode="External"/><Relationship Id="rId4" Type="http://schemas.openxmlformats.org/officeDocument/2006/relationships/hyperlink" Target="mailto:paresh.parmar@caregroupiol.com" TargetMode="External"/><Relationship Id="rId9" Type="http://schemas.openxmlformats.org/officeDocument/2006/relationships/hyperlink" Target="mailto:prashant.jani@caregroupiol.com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hyperlink" Target="http://103.76.141.153:8081/" TargetMode="External"/><Relationship Id="rId1" Type="http://schemas.openxmlformats.org/officeDocument/2006/relationships/hyperlink" Target="http://103.76.141.153:808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78"/>
  <sheetViews>
    <sheetView zoomScale="25" zoomScaleNormal="25" workbookViewId="0">
      <selection activeCell="C3" sqref="C3"/>
    </sheetView>
  </sheetViews>
  <sheetFormatPr defaultColWidth="255.28515625" defaultRowHeight="87.75"/>
  <cols>
    <col min="1" max="1" width="343.42578125" style="538" customWidth="1"/>
    <col min="2" max="2" width="321.28515625" style="102" customWidth="1"/>
    <col min="3" max="3" width="70.140625" style="102" customWidth="1"/>
    <col min="4" max="4" width="245.28515625" style="539" customWidth="1"/>
    <col min="5" max="5" width="148.140625" style="102" customWidth="1"/>
    <col min="6" max="6" width="159.42578125" style="102" customWidth="1"/>
    <col min="7" max="7" width="186.5703125" style="102" customWidth="1"/>
    <col min="8" max="8" width="100.85546875" style="102" customWidth="1"/>
    <col min="9" max="9" width="90.140625" style="102" customWidth="1"/>
    <col min="10" max="10" width="65.28515625" style="102" customWidth="1"/>
    <col min="11" max="11" width="272" style="102" customWidth="1"/>
    <col min="12" max="12" width="118.42578125" style="102" customWidth="1"/>
    <col min="13" max="13" width="343.28515625" style="102" customWidth="1"/>
    <col min="14" max="24" width="255.28515625" style="102" customWidth="1"/>
    <col min="25" max="25" width="3223.85546875" style="102" customWidth="1"/>
    <col min="26" max="26" width="255.28515625" style="102" customWidth="1"/>
    <col min="27" max="27" width="361.42578125" style="102" customWidth="1"/>
    <col min="28" max="28" width="255.28515625" style="102" customWidth="1"/>
    <col min="29" max="16384" width="255.28515625" style="102"/>
  </cols>
  <sheetData>
    <row r="1" spans="1:39" ht="96">
      <c r="A1" s="540" t="s">
        <v>0</v>
      </c>
      <c r="B1" s="540" t="s">
        <v>1</v>
      </c>
      <c r="D1" s="541" t="s">
        <v>2</v>
      </c>
      <c r="E1" s="542" t="s">
        <v>3</v>
      </c>
      <c r="F1" s="542" t="s">
        <v>4</v>
      </c>
      <c r="G1" s="543" t="s">
        <v>5</v>
      </c>
      <c r="H1" s="544">
        <v>9029593445</v>
      </c>
      <c r="I1" s="544" t="s">
        <v>6</v>
      </c>
      <c r="K1" s="576" t="s">
        <v>7</v>
      </c>
      <c r="L1" s="577" t="s">
        <v>8</v>
      </c>
      <c r="M1" s="576" t="s">
        <v>9</v>
      </c>
      <c r="N1" s="578"/>
      <c r="O1" s="579"/>
      <c r="P1" s="579"/>
      <c r="Y1" s="565" t="s">
        <v>10</v>
      </c>
      <c r="Z1" s="585"/>
      <c r="AA1" s="586"/>
      <c r="AB1" s="586"/>
      <c r="AC1" s="586"/>
      <c r="AD1" s="586"/>
      <c r="AE1" s="586"/>
      <c r="AF1" s="586"/>
      <c r="AG1" s="586"/>
      <c r="AH1" s="586"/>
      <c r="AI1" s="586"/>
      <c r="AJ1" s="586"/>
      <c r="AK1" s="586"/>
      <c r="AL1" s="586"/>
      <c r="AM1" s="589"/>
    </row>
    <row r="2" spans="1:39" ht="108" customHeight="1">
      <c r="A2" s="545" t="s">
        <v>11</v>
      </c>
      <c r="B2" s="546" t="s">
        <v>12</v>
      </c>
      <c r="C2" s="544" t="s">
        <v>13</v>
      </c>
      <c r="D2" s="547" t="s">
        <v>14</v>
      </c>
      <c r="E2" s="548" t="s">
        <v>15</v>
      </c>
      <c r="F2" s="542" t="s">
        <v>16</v>
      </c>
      <c r="G2" s="543" t="s">
        <v>17</v>
      </c>
      <c r="H2" s="544">
        <v>9374334878</v>
      </c>
      <c r="I2" s="544" t="s">
        <v>18</v>
      </c>
      <c r="K2" s="580">
        <v>44653</v>
      </c>
      <c r="L2" s="577" t="s">
        <v>19</v>
      </c>
      <c r="M2" s="579"/>
      <c r="N2" s="579"/>
      <c r="O2" s="579"/>
      <c r="P2" s="579"/>
      <c r="AA2" s="587"/>
      <c r="AB2" s="587"/>
      <c r="AC2" s="587"/>
      <c r="AD2" s="587"/>
      <c r="AE2" s="587"/>
      <c r="AF2" s="587"/>
      <c r="AG2" s="587"/>
      <c r="AH2" s="587"/>
      <c r="AI2" s="587"/>
      <c r="AJ2" s="587"/>
      <c r="AK2" s="587"/>
      <c r="AL2" s="587"/>
      <c r="AM2" s="589"/>
    </row>
    <row r="3" spans="1:39" ht="96">
      <c r="A3" s="549" t="s">
        <v>20</v>
      </c>
      <c r="B3" s="546" t="s">
        <v>21</v>
      </c>
      <c r="E3" s="544" t="s">
        <v>22</v>
      </c>
      <c r="F3" s="544" t="s">
        <v>23</v>
      </c>
      <c r="K3" s="580" t="s">
        <v>24</v>
      </c>
      <c r="M3" s="576" t="s">
        <v>25</v>
      </c>
      <c r="AA3" s="586"/>
      <c r="AB3" s="586"/>
      <c r="AC3" s="586"/>
      <c r="AD3" s="586"/>
      <c r="AE3" s="586"/>
      <c r="AF3" s="586"/>
      <c r="AG3" s="586"/>
      <c r="AH3" s="586"/>
      <c r="AI3" s="586"/>
      <c r="AJ3" s="586"/>
      <c r="AK3" s="586"/>
      <c r="AL3" s="586"/>
      <c r="AM3" s="589"/>
    </row>
    <row r="4" spans="1:39" ht="96">
      <c r="A4" s="550"/>
      <c r="B4" s="546" t="s">
        <v>26</v>
      </c>
      <c r="D4" s="547" t="s">
        <v>27</v>
      </c>
      <c r="G4" s="551"/>
      <c r="K4" s="581"/>
      <c r="M4" s="579"/>
      <c r="AA4" s="586"/>
      <c r="AB4" s="586"/>
      <c r="AC4" s="586"/>
      <c r="AD4" s="586"/>
      <c r="AE4" s="586"/>
      <c r="AF4" s="586"/>
      <c r="AG4" s="586"/>
      <c r="AH4" s="586"/>
      <c r="AI4" s="586"/>
      <c r="AJ4" s="586"/>
      <c r="AK4" s="586"/>
      <c r="AL4" s="586"/>
      <c r="AM4" s="589"/>
    </row>
    <row r="5" spans="1:39" ht="96">
      <c r="A5" s="550"/>
      <c r="B5" s="552">
        <v>391440</v>
      </c>
      <c r="D5" s="547" t="s">
        <v>28</v>
      </c>
      <c r="E5" s="553" t="s">
        <v>29</v>
      </c>
      <c r="G5" s="551"/>
      <c r="K5" s="581"/>
      <c r="M5" s="580" t="s">
        <v>30</v>
      </c>
      <c r="AA5" s="586"/>
      <c r="AB5" s="586"/>
      <c r="AC5" s="586"/>
      <c r="AD5" s="586"/>
      <c r="AE5" s="586"/>
      <c r="AF5" s="586"/>
      <c r="AG5" s="586"/>
      <c r="AH5" s="586"/>
      <c r="AI5" s="586"/>
      <c r="AJ5" s="586"/>
      <c r="AK5" s="586"/>
      <c r="AL5" s="586"/>
      <c r="AM5" s="589"/>
    </row>
    <row r="6" spans="1:39" ht="96">
      <c r="A6" s="550"/>
      <c r="B6" s="554"/>
      <c r="D6" s="541"/>
      <c r="G6" s="551"/>
      <c r="K6" s="581"/>
      <c r="M6" s="579"/>
      <c r="AA6" s="586"/>
      <c r="AB6" s="586"/>
      <c r="AC6" s="586"/>
      <c r="AD6" s="586"/>
      <c r="AE6" s="586"/>
      <c r="AF6" s="586"/>
      <c r="AG6" s="586"/>
      <c r="AH6" s="586"/>
      <c r="AI6" s="586"/>
      <c r="AJ6" s="586"/>
      <c r="AK6" s="586"/>
      <c r="AL6" s="586"/>
      <c r="AM6" s="589"/>
    </row>
    <row r="7" spans="1:39" ht="96">
      <c r="A7" s="555" t="s">
        <v>31</v>
      </c>
      <c r="B7" s="555" t="s">
        <v>32</v>
      </c>
      <c r="H7" s="556"/>
      <c r="L7" s="582"/>
      <c r="AA7" s="587"/>
      <c r="AB7" s="587"/>
      <c r="AC7" s="587"/>
      <c r="AD7" s="587"/>
      <c r="AE7" s="587"/>
      <c r="AF7" s="587"/>
      <c r="AG7" s="587"/>
      <c r="AH7" s="587"/>
      <c r="AI7" s="587"/>
      <c r="AJ7" s="587"/>
      <c r="AK7" s="587"/>
      <c r="AL7" s="587"/>
      <c r="AM7" s="589"/>
    </row>
    <row r="8" spans="1:39" ht="96">
      <c r="A8" s="557" t="s">
        <v>33</v>
      </c>
      <c r="B8" s="557" t="s">
        <v>34</v>
      </c>
      <c r="H8" s="556"/>
      <c r="L8" s="582"/>
      <c r="M8" s="579"/>
      <c r="AA8" s="587"/>
      <c r="AB8" s="587"/>
      <c r="AC8" s="587"/>
      <c r="AD8" s="587"/>
      <c r="AE8" s="587"/>
      <c r="AF8" s="587"/>
      <c r="AG8" s="587"/>
      <c r="AH8" s="587"/>
      <c r="AI8" s="587"/>
      <c r="AJ8" s="587"/>
      <c r="AK8" s="587"/>
      <c r="AL8" s="587"/>
      <c r="AM8" s="589"/>
    </row>
    <row r="9" spans="1:39" ht="96">
      <c r="A9" s="558"/>
      <c r="B9" s="555" t="s">
        <v>35</v>
      </c>
      <c r="C9" s="559"/>
      <c r="H9" s="556"/>
      <c r="L9" s="582"/>
      <c r="M9" s="576" t="s">
        <v>36</v>
      </c>
      <c r="AA9" s="588" t="s">
        <v>37</v>
      </c>
      <c r="AB9" s="586"/>
      <c r="AC9" s="586"/>
      <c r="AD9" s="586"/>
      <c r="AE9" s="586"/>
      <c r="AF9" s="586"/>
      <c r="AG9" s="586"/>
      <c r="AH9" s="586"/>
      <c r="AI9" s="586"/>
      <c r="AJ9" s="586"/>
      <c r="AK9" s="586"/>
      <c r="AL9" s="586"/>
      <c r="AM9" s="589"/>
    </row>
    <row r="10" spans="1:39" ht="96">
      <c r="A10" s="550"/>
      <c r="B10" s="557">
        <v>391440</v>
      </c>
      <c r="H10" s="556"/>
      <c r="L10" s="582"/>
      <c r="AA10" s="586"/>
      <c r="AB10" s="586"/>
      <c r="AC10" s="586"/>
      <c r="AD10" s="586"/>
      <c r="AE10" s="586"/>
      <c r="AF10" s="586"/>
      <c r="AG10" s="586"/>
      <c r="AH10" s="586"/>
      <c r="AI10" s="586"/>
      <c r="AJ10" s="586"/>
      <c r="AK10" s="586"/>
      <c r="AL10" s="586"/>
      <c r="AM10" s="589"/>
    </row>
    <row r="11" spans="1:39" ht="96">
      <c r="A11" s="550"/>
      <c r="B11" s="560"/>
      <c r="H11" s="556"/>
      <c r="L11" s="582"/>
      <c r="AA11" s="586"/>
      <c r="AB11" s="586"/>
      <c r="AC11" s="586"/>
      <c r="AD11" s="586"/>
      <c r="AE11" s="586"/>
      <c r="AF11" s="586"/>
      <c r="AG11" s="586"/>
      <c r="AH11" s="586"/>
      <c r="AI11" s="586"/>
      <c r="AJ11" s="586"/>
      <c r="AK11" s="586"/>
      <c r="AL11" s="586"/>
      <c r="AM11" s="589"/>
    </row>
    <row r="12" spans="1:39" ht="96">
      <c r="A12" s="550"/>
      <c r="B12" s="560"/>
      <c r="H12" s="556"/>
      <c r="L12" s="582"/>
      <c r="AA12" s="586"/>
      <c r="AB12" s="586"/>
      <c r="AC12" s="586"/>
      <c r="AD12" s="586"/>
      <c r="AE12" s="586"/>
      <c r="AF12" s="586"/>
      <c r="AG12" s="586"/>
      <c r="AH12" s="586"/>
      <c r="AI12" s="586"/>
      <c r="AJ12" s="586"/>
      <c r="AK12" s="586"/>
      <c r="AL12" s="586"/>
      <c r="AM12" s="589"/>
    </row>
    <row r="13" spans="1:39" ht="96">
      <c r="A13" s="550"/>
      <c r="B13" s="560"/>
      <c r="H13" s="556"/>
      <c r="L13" s="582"/>
      <c r="AA13" s="586"/>
      <c r="AB13" s="586"/>
      <c r="AC13" s="586"/>
      <c r="AD13" s="586"/>
      <c r="AE13" s="586"/>
      <c r="AF13" s="586"/>
      <c r="AG13" s="586"/>
      <c r="AH13" s="586"/>
      <c r="AI13" s="586"/>
      <c r="AJ13" s="586"/>
      <c r="AK13" s="586"/>
      <c r="AL13" s="586"/>
      <c r="AM13" s="589"/>
    </row>
    <row r="14" spans="1:39" ht="96">
      <c r="A14" s="561" t="s">
        <v>38</v>
      </c>
      <c r="B14" s="562" t="s">
        <v>39</v>
      </c>
      <c r="K14" s="568"/>
      <c r="L14" s="568"/>
      <c r="AA14" s="587"/>
      <c r="AB14" s="587"/>
      <c r="AC14" s="587"/>
      <c r="AD14" s="587"/>
      <c r="AE14" s="587"/>
      <c r="AF14" s="587"/>
      <c r="AG14" s="587"/>
      <c r="AH14" s="587"/>
      <c r="AI14" s="587"/>
      <c r="AJ14" s="587"/>
      <c r="AK14" s="587"/>
      <c r="AL14" s="587"/>
      <c r="AM14" s="589"/>
    </row>
    <row r="15" spans="1:39" ht="96">
      <c r="A15" s="561" t="s">
        <v>40</v>
      </c>
      <c r="B15" s="562">
        <v>90213900</v>
      </c>
      <c r="K15" s="568"/>
      <c r="L15" s="568"/>
      <c r="AA15" s="586"/>
      <c r="AB15" s="586"/>
      <c r="AC15" s="586"/>
      <c r="AD15" s="586"/>
      <c r="AE15" s="586"/>
      <c r="AF15" s="586"/>
      <c r="AG15" s="586"/>
      <c r="AH15" s="586"/>
      <c r="AI15" s="586"/>
      <c r="AJ15" s="586"/>
      <c r="AK15" s="586"/>
      <c r="AL15" s="586"/>
      <c r="AM15" s="589"/>
    </row>
    <row r="16" spans="1:39" ht="96">
      <c r="A16" s="561" t="s">
        <v>41</v>
      </c>
      <c r="B16" s="562">
        <v>90185090</v>
      </c>
      <c r="K16" s="568"/>
      <c r="L16" s="568"/>
      <c r="AA16" s="589"/>
      <c r="AB16" s="589"/>
      <c r="AC16" s="589"/>
      <c r="AD16" s="589"/>
      <c r="AE16" s="589"/>
      <c r="AF16" s="589"/>
      <c r="AG16" s="589"/>
      <c r="AH16" s="589"/>
      <c r="AI16" s="589"/>
      <c r="AJ16" s="589"/>
      <c r="AK16" s="589"/>
      <c r="AL16" s="589"/>
      <c r="AM16" s="589"/>
    </row>
    <row r="17" spans="1:39" ht="96">
      <c r="A17" s="561" t="s">
        <v>42</v>
      </c>
      <c r="B17" s="562">
        <v>90213900</v>
      </c>
      <c r="AA17" s="589"/>
      <c r="AB17" s="589"/>
      <c r="AC17" s="589"/>
      <c r="AD17" s="589"/>
      <c r="AE17" s="589"/>
      <c r="AF17" s="589"/>
      <c r="AG17" s="589"/>
      <c r="AH17" s="589"/>
      <c r="AI17" s="589"/>
      <c r="AJ17" s="589"/>
      <c r="AK17" s="589"/>
      <c r="AL17" s="589"/>
      <c r="AM17" s="589"/>
    </row>
    <row r="18" spans="1:39" ht="96">
      <c r="A18" s="561" t="s">
        <v>43</v>
      </c>
      <c r="B18" s="561">
        <v>90185090</v>
      </c>
      <c r="L18" s="568"/>
    </row>
    <row r="19" spans="1:39" ht="96">
      <c r="A19" s="561" t="s">
        <v>44</v>
      </c>
      <c r="B19" s="561">
        <v>90185090</v>
      </c>
      <c r="L19" s="583"/>
    </row>
    <row r="20" spans="1:39" ht="96">
      <c r="A20" s="563"/>
      <c r="B20" s="564"/>
      <c r="L20" s="583"/>
    </row>
    <row r="21" spans="1:39" ht="96">
      <c r="A21" s="563"/>
      <c r="B21" s="564"/>
      <c r="L21" s="583"/>
    </row>
    <row r="22" spans="1:39" ht="96">
      <c r="A22" s="563"/>
      <c r="B22" s="564"/>
      <c r="L22" s="583"/>
    </row>
    <row r="23" spans="1:39" ht="96">
      <c r="A23" s="563"/>
      <c r="B23" s="564"/>
      <c r="L23" s="583"/>
    </row>
    <row r="24" spans="1:39" ht="96">
      <c r="A24" s="565"/>
      <c r="B24" s="565"/>
    </row>
    <row r="25" spans="1:39">
      <c r="L25" s="568">
        <f>SUM(L14:L18)</f>
        <v>0</v>
      </c>
    </row>
    <row r="26" spans="1:39">
      <c r="G26" s="566"/>
    </row>
    <row r="27" spans="1:39" ht="92.25">
      <c r="A27" s="544"/>
      <c r="B27" s="544"/>
      <c r="G27" s="566"/>
      <c r="J27" s="584" t="s">
        <v>45</v>
      </c>
      <c r="K27" s="568">
        <f>L25*87.75</f>
        <v>0</v>
      </c>
    </row>
    <row r="28" spans="1:39">
      <c r="A28" s="544"/>
      <c r="G28" s="566"/>
    </row>
    <row r="29" spans="1:39">
      <c r="A29" s="544"/>
    </row>
    <row r="30" spans="1:39">
      <c r="A30" s="544"/>
    </row>
    <row r="31" spans="1:39">
      <c r="A31" s="544"/>
      <c r="B31" s="544"/>
      <c r="C31" s="567"/>
    </row>
    <row r="33" spans="1:7">
      <c r="A33" s="544"/>
      <c r="B33" s="553"/>
    </row>
    <row r="34" spans="1:7">
      <c r="A34" s="544"/>
      <c r="B34" s="553"/>
    </row>
    <row r="35" spans="1:7">
      <c r="A35" s="544"/>
    </row>
    <row r="36" spans="1:7">
      <c r="A36" s="544"/>
      <c r="B36" s="553"/>
    </row>
    <row r="37" spans="1:7">
      <c r="A37" s="544"/>
      <c r="B37" s="544"/>
    </row>
    <row r="38" spans="1:7">
      <c r="A38" s="544"/>
      <c r="B38" s="568"/>
    </row>
    <row r="39" spans="1:7">
      <c r="A39" s="568"/>
      <c r="B39" s="553"/>
    </row>
    <row r="40" spans="1:7" ht="32.25" customHeight="1">
      <c r="A40" s="569"/>
      <c r="G40" s="566"/>
    </row>
    <row r="41" spans="1:7" ht="32.25" customHeight="1">
      <c r="A41" s="569"/>
      <c r="G41" s="566"/>
    </row>
    <row r="42" spans="1:7" ht="32.25" customHeight="1">
      <c r="A42" s="569"/>
      <c r="G42" s="570"/>
    </row>
    <row r="43" spans="1:7">
      <c r="G43" s="566"/>
    </row>
    <row r="44" spans="1:7">
      <c r="G44" s="566"/>
    </row>
    <row r="45" spans="1:7" ht="32.25" customHeight="1">
      <c r="A45" s="168"/>
      <c r="G45" s="566"/>
    </row>
    <row r="46" spans="1:7" ht="32.25" customHeight="1">
      <c r="A46" s="569"/>
      <c r="G46" s="566"/>
    </row>
    <row r="47" spans="1:7" ht="32.25" customHeight="1">
      <c r="A47" s="569"/>
      <c r="G47" s="566"/>
    </row>
    <row r="48" spans="1:7" ht="59.25" customHeight="1">
      <c r="A48" s="571"/>
      <c r="G48" s="566"/>
    </row>
    <row r="49" spans="1:7" ht="88.5">
      <c r="A49" s="572"/>
      <c r="G49" s="566"/>
    </row>
    <row r="50" spans="1:7" ht="96">
      <c r="A50" s="573"/>
      <c r="G50" s="566"/>
    </row>
    <row r="51" spans="1:7" ht="88.5">
      <c r="A51" s="572"/>
      <c r="G51" s="566"/>
    </row>
    <row r="52" spans="1:7" ht="59.25" customHeight="1">
      <c r="A52" s="571"/>
      <c r="G52" s="566"/>
    </row>
    <row r="53" spans="1:7" ht="32.25" customHeight="1">
      <c r="A53" s="574"/>
      <c r="G53" s="566"/>
    </row>
    <row r="54" spans="1:7" ht="32.25" customHeight="1">
      <c r="A54" s="569"/>
      <c r="G54" s="566"/>
    </row>
    <row r="55" spans="1:7" ht="32.25" customHeight="1">
      <c r="A55" s="569"/>
      <c r="G55" s="566"/>
    </row>
    <row r="56" spans="1:7" ht="32.25" customHeight="1">
      <c r="A56" s="569"/>
      <c r="G56" s="566"/>
    </row>
    <row r="57" spans="1:7" ht="32.25" customHeight="1">
      <c r="A57" s="569"/>
      <c r="G57" s="566"/>
    </row>
    <row r="58" spans="1:7" ht="32.25" customHeight="1">
      <c r="A58" s="569"/>
      <c r="G58" s="566"/>
    </row>
    <row r="59" spans="1:7" ht="32.25" customHeight="1">
      <c r="A59" s="569"/>
      <c r="G59" s="566"/>
    </row>
    <row r="60" spans="1:7" ht="32.25" customHeight="1">
      <c r="A60" s="569"/>
      <c r="G60" s="566"/>
    </row>
    <row r="61" spans="1:7" ht="32.25" customHeight="1">
      <c r="A61" s="569"/>
      <c r="G61" s="566"/>
    </row>
    <row r="62" spans="1:7" ht="32.25" customHeight="1">
      <c r="A62" s="575"/>
    </row>
    <row r="63" spans="1:7" ht="32.25" customHeight="1">
      <c r="A63" s="575"/>
    </row>
    <row r="64" spans="1:7" ht="32.25" customHeight="1">
      <c r="A64" s="575"/>
    </row>
    <row r="65" spans="1:1" ht="32.25" customHeight="1">
      <c r="A65" s="575"/>
    </row>
    <row r="66" spans="1:1" ht="32.25" customHeight="1">
      <c r="A66" s="575"/>
    </row>
    <row r="67" spans="1:1" ht="32.25" customHeight="1">
      <c r="A67" s="575"/>
    </row>
    <row r="68" spans="1:1" ht="32.25" customHeight="1">
      <c r="A68" s="575"/>
    </row>
    <row r="69" spans="1:1" ht="32.25" customHeight="1">
      <c r="A69" s="575"/>
    </row>
    <row r="70" spans="1:1" ht="32.25" customHeight="1">
      <c r="A70" s="575"/>
    </row>
    <row r="71" spans="1:1" ht="32.25" customHeight="1">
      <c r="A71" s="575"/>
    </row>
    <row r="72" spans="1:1" ht="32.25" customHeight="1">
      <c r="A72" s="575"/>
    </row>
    <row r="73" spans="1:1" ht="96">
      <c r="A73" s="565"/>
    </row>
    <row r="74" spans="1:1" ht="32.25" customHeight="1">
      <c r="A74" s="575"/>
    </row>
    <row r="75" spans="1:1" ht="32.25" customHeight="1">
      <c r="A75" s="575"/>
    </row>
    <row r="76" spans="1:1" ht="32.25" customHeight="1">
      <c r="A76" s="575"/>
    </row>
    <row r="77" spans="1:1" ht="32.25" customHeight="1">
      <c r="A77" s="575"/>
    </row>
    <row r="78" spans="1:1" ht="32.25" customHeight="1">
      <c r="A78" s="569"/>
    </row>
  </sheetData>
  <conditionalFormatting sqref="A7:B10">
    <cfRule type="expression" dxfId="0" priority="1" stopIfTrue="1">
      <formula>AND(SUMPRODUCT(IFERROR(1*(($A$7:$B$10&amp;"x")=(A7&amp;"x")),0))&gt;1,NOT(ISBLANK(A7)))</formula>
    </cfRule>
  </conditionalFormatting>
  <hyperlinks>
    <hyperlink ref="D2" r:id="rId1"/>
  </hyperlinks>
  <pageMargins left="0.74791666666666701" right="0.74791666666666701" top="0.98402777777777795" bottom="0.98402777777777795" header="0.51180555555555596" footer="0.51180555555555596"/>
  <pageSetup paperSize="256" fitToWidth="0" fitToHeight="0" orientation="landscape" useFirstPageNumber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E48"/>
  <sheetViews>
    <sheetView zoomScale="55" zoomScaleNormal="55" workbookViewId="0">
      <selection activeCell="E1" sqref="E1"/>
    </sheetView>
  </sheetViews>
  <sheetFormatPr defaultColWidth="9.140625" defaultRowHeight="27.75"/>
  <cols>
    <col min="1" max="1" width="32.85546875" style="38" customWidth="1"/>
    <col min="2" max="2" width="103.7109375" style="533" customWidth="1"/>
    <col min="3" max="3" width="195.140625" style="533" customWidth="1"/>
    <col min="4" max="4" width="56.7109375" style="38" customWidth="1"/>
    <col min="5" max="5" width="61" style="38" customWidth="1"/>
    <col min="6" max="16384" width="9.140625" style="38"/>
  </cols>
  <sheetData>
    <row r="1" spans="1:5" ht="59.25">
      <c r="B1" s="534" t="s">
        <v>46</v>
      </c>
      <c r="C1" s="534" t="s">
        <v>47</v>
      </c>
      <c r="D1" s="534" t="s">
        <v>48</v>
      </c>
      <c r="E1" s="535" t="s">
        <v>15</v>
      </c>
    </row>
    <row r="2" spans="1:5" ht="37.5" hidden="1">
      <c r="B2" s="536" t="s">
        <v>49</v>
      </c>
      <c r="C2" s="536" t="s">
        <v>50</v>
      </c>
      <c r="D2" s="536">
        <v>30067000</v>
      </c>
    </row>
    <row r="3" spans="1:5" ht="37.5" hidden="1">
      <c r="B3" s="536" t="s">
        <v>51</v>
      </c>
      <c r="C3" s="536" t="s">
        <v>52</v>
      </c>
      <c r="D3" s="536">
        <v>30043990</v>
      </c>
    </row>
    <row r="4" spans="1:5" ht="37.5" hidden="1">
      <c r="B4" s="536" t="s">
        <v>53</v>
      </c>
      <c r="C4" s="536" t="s">
        <v>53</v>
      </c>
      <c r="D4" s="536">
        <v>90183220</v>
      </c>
    </row>
    <row r="5" spans="1:5" ht="37.5" hidden="1">
      <c r="B5" s="536" t="s">
        <v>54</v>
      </c>
      <c r="C5" s="536" t="s">
        <v>55</v>
      </c>
      <c r="D5" s="536">
        <v>30049099</v>
      </c>
    </row>
    <row r="6" spans="1:5" ht="37.5" hidden="1">
      <c r="A6" s="533"/>
      <c r="B6" s="536" t="s">
        <v>56</v>
      </c>
      <c r="C6" s="536" t="s">
        <v>57</v>
      </c>
      <c r="D6" s="536">
        <v>30067000</v>
      </c>
      <c r="E6" s="533"/>
    </row>
    <row r="7" spans="1:5" ht="37.5" hidden="1">
      <c r="B7" s="536" t="s">
        <v>58</v>
      </c>
      <c r="C7" s="536" t="s">
        <v>57</v>
      </c>
      <c r="D7" s="536">
        <v>30043990</v>
      </c>
    </row>
    <row r="8" spans="1:5" ht="37.5" hidden="1">
      <c r="B8" s="536" t="s">
        <v>59</v>
      </c>
      <c r="C8" s="537" t="s">
        <v>60</v>
      </c>
      <c r="D8" s="536">
        <v>30043990</v>
      </c>
    </row>
    <row r="9" spans="1:5" ht="37.5" hidden="1">
      <c r="B9" s="536" t="s">
        <v>61</v>
      </c>
      <c r="C9" s="536" t="s">
        <v>55</v>
      </c>
      <c r="D9" s="536">
        <v>30049099</v>
      </c>
    </row>
    <row r="10" spans="1:5" ht="37.5" hidden="1">
      <c r="B10" s="536" t="s">
        <v>62</v>
      </c>
      <c r="C10" s="536" t="s">
        <v>63</v>
      </c>
      <c r="D10" s="536">
        <v>30049099</v>
      </c>
    </row>
    <row r="11" spans="1:5" ht="37.5" hidden="1">
      <c r="B11" s="536" t="s">
        <v>64</v>
      </c>
      <c r="C11" s="536" t="s">
        <v>65</v>
      </c>
      <c r="D11" s="536">
        <v>30043990</v>
      </c>
    </row>
    <row r="12" spans="1:5" ht="37.5" hidden="1">
      <c r="B12" s="536" t="s">
        <v>66</v>
      </c>
      <c r="C12" s="536" t="s">
        <v>67</v>
      </c>
      <c r="D12" s="536">
        <v>30043990</v>
      </c>
    </row>
    <row r="13" spans="1:5" ht="37.5" hidden="1">
      <c r="B13" s="536" t="s">
        <v>68</v>
      </c>
      <c r="C13" s="536" t="s">
        <v>65</v>
      </c>
      <c r="D13" s="536">
        <v>30043990</v>
      </c>
    </row>
    <row r="14" spans="1:5" ht="37.5" hidden="1">
      <c r="B14" s="536" t="s">
        <v>69</v>
      </c>
      <c r="C14" s="536" t="s">
        <v>50</v>
      </c>
      <c r="D14" s="536">
        <v>30067000</v>
      </c>
    </row>
    <row r="15" spans="1:5" ht="37.5" hidden="1">
      <c r="B15" s="536" t="s">
        <v>70</v>
      </c>
      <c r="C15" s="536" t="s">
        <v>71</v>
      </c>
      <c r="D15" s="536">
        <v>30049099</v>
      </c>
    </row>
    <row r="16" spans="1:5" ht="37.5" hidden="1">
      <c r="B16" s="536" t="s">
        <v>72</v>
      </c>
      <c r="C16" s="536" t="s">
        <v>73</v>
      </c>
      <c r="D16" s="536">
        <v>30067000</v>
      </c>
    </row>
    <row r="17" spans="2:4" ht="37.5" hidden="1">
      <c r="B17" s="536" t="s">
        <v>74</v>
      </c>
      <c r="C17" s="536" t="s">
        <v>75</v>
      </c>
      <c r="D17" s="536">
        <v>30067000</v>
      </c>
    </row>
    <row r="18" spans="2:4" ht="37.5" hidden="1">
      <c r="B18" s="536" t="s">
        <v>76</v>
      </c>
      <c r="C18" s="536" t="s">
        <v>76</v>
      </c>
      <c r="D18" s="536">
        <v>30043990</v>
      </c>
    </row>
    <row r="19" spans="2:4" ht="37.5" hidden="1">
      <c r="B19" s="536" t="s">
        <v>77</v>
      </c>
      <c r="C19" s="536" t="s">
        <v>77</v>
      </c>
      <c r="D19" s="536">
        <v>30043990</v>
      </c>
    </row>
    <row r="20" spans="2:4" ht="37.5" hidden="1">
      <c r="B20" s="536" t="s">
        <v>78</v>
      </c>
      <c r="C20" s="536" t="s">
        <v>79</v>
      </c>
      <c r="D20" s="536">
        <v>30049099</v>
      </c>
    </row>
    <row r="21" spans="2:4" ht="37.5" hidden="1">
      <c r="B21" s="536" t="s">
        <v>80</v>
      </c>
      <c r="C21" s="536" t="s">
        <v>81</v>
      </c>
      <c r="D21" s="536">
        <v>30043990</v>
      </c>
    </row>
    <row r="22" spans="2:4" ht="37.5" hidden="1">
      <c r="B22" s="536" t="s">
        <v>82</v>
      </c>
      <c r="C22" s="536" t="s">
        <v>55</v>
      </c>
      <c r="D22" s="536">
        <v>30049099</v>
      </c>
    </row>
    <row r="23" spans="2:4" ht="37.5">
      <c r="B23" s="536" t="s">
        <v>83</v>
      </c>
      <c r="C23" s="536" t="s">
        <v>84</v>
      </c>
      <c r="D23" s="536">
        <v>30063000</v>
      </c>
    </row>
    <row r="24" spans="2:4" ht="37.5" hidden="1">
      <c r="B24" s="536" t="s">
        <v>85</v>
      </c>
      <c r="C24" s="536" t="s">
        <v>52</v>
      </c>
      <c r="D24" s="536">
        <v>30043990</v>
      </c>
    </row>
    <row r="25" spans="2:4" ht="37.5" hidden="1">
      <c r="B25" s="536" t="s">
        <v>86</v>
      </c>
      <c r="C25" s="536" t="s">
        <v>87</v>
      </c>
      <c r="D25" s="536">
        <v>30043990</v>
      </c>
    </row>
    <row r="26" spans="2:4" ht="37.5" hidden="1">
      <c r="B26" s="536" t="s">
        <v>88</v>
      </c>
      <c r="C26" s="536" t="s">
        <v>89</v>
      </c>
      <c r="D26" s="536">
        <v>30049099</v>
      </c>
    </row>
    <row r="27" spans="2:4" ht="37.5" hidden="1">
      <c r="B27" s="536" t="s">
        <v>90</v>
      </c>
      <c r="C27" s="536" t="s">
        <v>91</v>
      </c>
      <c r="D27" s="536">
        <v>30043990</v>
      </c>
    </row>
    <row r="28" spans="2:4" ht="37.5" hidden="1">
      <c r="B28" s="536" t="s">
        <v>92</v>
      </c>
      <c r="C28" s="536" t="s">
        <v>93</v>
      </c>
      <c r="D28" s="536">
        <v>30049099</v>
      </c>
    </row>
    <row r="29" spans="2:4" ht="37.5" hidden="1">
      <c r="B29" s="536" t="s">
        <v>94</v>
      </c>
      <c r="C29" s="536" t="s">
        <v>95</v>
      </c>
      <c r="D29" s="536">
        <v>30043990</v>
      </c>
    </row>
    <row r="30" spans="2:4" ht="37.5" hidden="1">
      <c r="B30" s="536" t="s">
        <v>96</v>
      </c>
      <c r="C30" s="536" t="s">
        <v>87</v>
      </c>
      <c r="D30" s="536">
        <v>30043990</v>
      </c>
    </row>
    <row r="31" spans="2:4" ht="37.5">
      <c r="B31" s="536"/>
      <c r="C31" s="536"/>
      <c r="D31" s="536"/>
    </row>
    <row r="32" spans="2:4" ht="37.5" hidden="1">
      <c r="B32" s="536" t="s">
        <v>97</v>
      </c>
      <c r="C32" s="536" t="s">
        <v>98</v>
      </c>
      <c r="D32" s="536">
        <v>30067000</v>
      </c>
    </row>
    <row r="33" spans="2:4" ht="37.5" hidden="1">
      <c r="B33" s="536" t="s">
        <v>99</v>
      </c>
      <c r="C33" s="536" t="s">
        <v>52</v>
      </c>
      <c r="D33" s="536">
        <v>30043990</v>
      </c>
    </row>
    <row r="34" spans="2:4" ht="37.5" hidden="1">
      <c r="B34" s="536" t="s">
        <v>100</v>
      </c>
      <c r="C34" s="536" t="s">
        <v>52</v>
      </c>
      <c r="D34" s="536">
        <v>30043990</v>
      </c>
    </row>
    <row r="35" spans="2:4" ht="37.5" hidden="1">
      <c r="B35" s="536" t="s">
        <v>101</v>
      </c>
      <c r="C35" s="536" t="s">
        <v>101</v>
      </c>
      <c r="D35" s="536">
        <v>30043990</v>
      </c>
    </row>
    <row r="36" spans="2:4" ht="37.5" hidden="1">
      <c r="B36" s="536" t="s">
        <v>102</v>
      </c>
      <c r="C36" s="536" t="s">
        <v>103</v>
      </c>
      <c r="D36" s="536">
        <v>30043990</v>
      </c>
    </row>
    <row r="37" spans="2:4" ht="37.5" hidden="1">
      <c r="B37" s="536" t="s">
        <v>104</v>
      </c>
      <c r="C37" s="536" t="s">
        <v>84</v>
      </c>
      <c r="D37" s="536">
        <v>30063000</v>
      </c>
    </row>
    <row r="38" spans="2:4" ht="37.5" hidden="1">
      <c r="B38" s="536" t="s">
        <v>105</v>
      </c>
      <c r="C38" s="536" t="s">
        <v>52</v>
      </c>
      <c r="D38" s="536">
        <v>30043990</v>
      </c>
    </row>
    <row r="39" spans="2:4" ht="37.5" hidden="1">
      <c r="B39" s="536" t="s">
        <v>106</v>
      </c>
      <c r="C39" s="536" t="s">
        <v>107</v>
      </c>
      <c r="D39" s="536">
        <v>30067000</v>
      </c>
    </row>
    <row r="40" spans="2:4" ht="37.5" hidden="1">
      <c r="B40" s="536" t="s">
        <v>108</v>
      </c>
      <c r="C40" s="536" t="s">
        <v>79</v>
      </c>
      <c r="D40" s="536">
        <v>30049099</v>
      </c>
    </row>
    <row r="41" spans="2:4" ht="37.5" hidden="1">
      <c r="B41" s="536" t="s">
        <v>109</v>
      </c>
      <c r="C41" s="536" t="s">
        <v>60</v>
      </c>
      <c r="D41" s="536">
        <v>30043990</v>
      </c>
    </row>
    <row r="42" spans="2:4" ht="37.5" hidden="1">
      <c r="B42" s="536" t="s">
        <v>110</v>
      </c>
      <c r="C42" s="536" t="s">
        <v>50</v>
      </c>
      <c r="D42" s="536">
        <v>30067000</v>
      </c>
    </row>
    <row r="43" spans="2:4" ht="37.5" hidden="1">
      <c r="B43" s="536" t="s">
        <v>111</v>
      </c>
      <c r="C43" s="536" t="s">
        <v>50</v>
      </c>
      <c r="D43" s="536">
        <v>30067000</v>
      </c>
    </row>
    <row r="44" spans="2:4" ht="37.5">
      <c r="B44" s="536"/>
      <c r="C44" s="536"/>
      <c r="D44" s="536"/>
    </row>
    <row r="45" spans="2:4" ht="37.5">
      <c r="C45" s="536"/>
      <c r="D45" s="536"/>
    </row>
    <row r="46" spans="2:4" ht="37.5">
      <c r="C46" s="536"/>
    </row>
    <row r="47" spans="2:4" ht="37.5">
      <c r="C47" s="536"/>
    </row>
    <row r="48" spans="2:4" ht="37.5">
      <c r="C48" s="536"/>
    </row>
  </sheetData>
  <autoFilter ref="B1:E43">
    <filterColumn colId="0">
      <customFilters>
        <customFilter val="FLUO STRIPS(1*100)"/>
      </customFilters>
    </filterColumn>
  </autoFilter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72"/>
  <sheetViews>
    <sheetView topLeftCell="A351" zoomScale="25" zoomScaleNormal="25" workbookViewId="0">
      <selection activeCell="A404" sqref="A404"/>
    </sheetView>
  </sheetViews>
  <sheetFormatPr defaultColWidth="9.140625" defaultRowHeight="63"/>
  <cols>
    <col min="1" max="1" width="15.140625" style="337" customWidth="1"/>
    <col min="2" max="2" width="69.5703125" style="338" customWidth="1"/>
    <col min="3" max="3" width="540.5703125" style="521" customWidth="1"/>
    <col min="4" max="4" width="143.5703125" style="337" customWidth="1"/>
    <col min="5" max="5" width="219.42578125" style="337" customWidth="1"/>
    <col min="6" max="6" width="26.28515625" style="337" customWidth="1"/>
    <col min="7" max="7" width="93.42578125" style="337" customWidth="1"/>
    <col min="8" max="16384" width="9.140625" style="337"/>
  </cols>
  <sheetData>
    <row r="1" spans="1:7">
      <c r="A1" s="340" t="s">
        <v>112</v>
      </c>
      <c r="B1" s="341" t="s">
        <v>113</v>
      </c>
      <c r="C1" s="522" t="s">
        <v>114</v>
      </c>
      <c r="D1" s="343"/>
      <c r="E1" s="343"/>
      <c r="F1" s="344"/>
      <c r="G1" s="593"/>
    </row>
    <row r="2" spans="1:7">
      <c r="A2" s="346">
        <v>1</v>
      </c>
      <c r="B2" s="347">
        <v>5300038</v>
      </c>
      <c r="C2" s="348" t="s">
        <v>115</v>
      </c>
      <c r="D2" s="343"/>
      <c r="E2" s="343"/>
      <c r="F2" s="344"/>
      <c r="G2" s="593"/>
    </row>
    <row r="3" spans="1:7">
      <c r="A3" s="346"/>
      <c r="B3" s="349"/>
      <c r="C3" s="350" t="s">
        <v>116</v>
      </c>
      <c r="D3" s="343"/>
      <c r="E3" s="343"/>
      <c r="F3" s="344"/>
      <c r="G3" s="351"/>
    </row>
    <row r="4" spans="1:7">
      <c r="A4" s="346"/>
      <c r="B4" s="367"/>
      <c r="C4" s="368"/>
      <c r="D4" s="343"/>
      <c r="E4" s="343"/>
      <c r="F4" s="344"/>
      <c r="G4" s="351"/>
    </row>
    <row r="5" spans="1:7">
      <c r="A5" s="346">
        <v>2</v>
      </c>
      <c r="B5" s="354">
        <v>5112589</v>
      </c>
      <c r="C5" s="523" t="s">
        <v>117</v>
      </c>
      <c r="D5" s="343"/>
      <c r="E5" s="343"/>
      <c r="F5" s="344"/>
      <c r="G5" s="356"/>
    </row>
    <row r="6" spans="1:7">
      <c r="A6" s="346"/>
      <c r="B6" s="354"/>
      <c r="C6" s="523" t="s">
        <v>118</v>
      </c>
      <c r="D6" s="343"/>
      <c r="E6" s="343"/>
      <c r="F6" s="344"/>
      <c r="G6" s="356"/>
    </row>
    <row r="7" spans="1:7">
      <c r="A7" s="346"/>
      <c r="B7" s="354"/>
      <c r="C7" s="523" t="s">
        <v>119</v>
      </c>
      <c r="D7" s="343"/>
      <c r="E7" s="343"/>
      <c r="F7" s="344"/>
      <c r="G7" s="356"/>
    </row>
    <row r="8" spans="1:7">
      <c r="A8" s="346"/>
      <c r="B8" s="354"/>
      <c r="C8" s="523" t="s">
        <v>120</v>
      </c>
      <c r="D8" s="343"/>
      <c r="E8" s="343"/>
      <c r="F8" s="344"/>
      <c r="G8" s="356"/>
    </row>
    <row r="9" spans="1:7">
      <c r="A9" s="346"/>
      <c r="B9" s="354"/>
      <c r="C9" s="523" t="s">
        <v>121</v>
      </c>
      <c r="D9" s="343"/>
      <c r="E9" s="343"/>
      <c r="F9" s="344"/>
      <c r="G9" s="356"/>
    </row>
    <row r="10" spans="1:7">
      <c r="A10" s="346"/>
      <c r="B10" s="354"/>
      <c r="C10" s="523" t="s">
        <v>122</v>
      </c>
      <c r="D10" s="343"/>
      <c r="E10" s="343"/>
      <c r="F10" s="344"/>
      <c r="G10" s="356"/>
    </row>
    <row r="11" spans="1:7">
      <c r="A11" s="346"/>
      <c r="B11" s="367"/>
      <c r="C11" s="368"/>
      <c r="D11" s="343"/>
      <c r="E11" s="343"/>
      <c r="F11" s="358"/>
      <c r="G11" s="358"/>
    </row>
    <row r="12" spans="1:7">
      <c r="A12" s="346">
        <v>3</v>
      </c>
      <c r="B12" s="347">
        <v>5300037</v>
      </c>
      <c r="C12" s="348" t="s">
        <v>11</v>
      </c>
      <c r="D12" s="343"/>
      <c r="E12" s="343"/>
      <c r="F12" s="358"/>
      <c r="G12" s="358"/>
    </row>
    <row r="13" spans="1:7">
      <c r="A13" s="346"/>
      <c r="B13" s="347"/>
      <c r="C13" s="348" t="s">
        <v>123</v>
      </c>
      <c r="D13" s="343"/>
      <c r="E13" s="343"/>
      <c r="F13" s="358"/>
      <c r="G13" s="358"/>
    </row>
    <row r="14" spans="1:7">
      <c r="A14" s="346"/>
      <c r="B14" s="347"/>
      <c r="C14" s="348" t="s">
        <v>124</v>
      </c>
      <c r="D14" s="343"/>
      <c r="E14" s="343"/>
      <c r="F14" s="358"/>
      <c r="G14" s="358"/>
    </row>
    <row r="15" spans="1:7">
      <c r="A15" s="346"/>
      <c r="B15" s="347"/>
      <c r="C15" s="348" t="s">
        <v>125</v>
      </c>
      <c r="D15" s="343"/>
      <c r="E15" s="343"/>
      <c r="F15" s="358"/>
      <c r="G15" s="358"/>
    </row>
    <row r="16" spans="1:7">
      <c r="A16" s="346"/>
      <c r="B16" s="347"/>
      <c r="C16" s="348" t="s">
        <v>126</v>
      </c>
      <c r="D16" s="343"/>
      <c r="E16" s="343"/>
      <c r="F16" s="358"/>
      <c r="G16" s="358"/>
    </row>
    <row r="17" spans="1:7">
      <c r="A17" s="346"/>
      <c r="B17" s="347"/>
      <c r="C17" s="348" t="s">
        <v>127</v>
      </c>
      <c r="D17" s="343"/>
      <c r="E17" s="343"/>
      <c r="F17" s="358"/>
      <c r="G17" s="358"/>
    </row>
    <row r="18" spans="1:7">
      <c r="A18" s="346"/>
      <c r="B18" s="347"/>
      <c r="C18" s="348" t="s">
        <v>128</v>
      </c>
      <c r="D18" s="343"/>
      <c r="E18" s="343"/>
      <c r="F18" s="358"/>
      <c r="G18" s="358"/>
    </row>
    <row r="19" spans="1:7">
      <c r="A19" s="346"/>
      <c r="B19" s="347"/>
      <c r="C19" s="348" t="s">
        <v>122</v>
      </c>
      <c r="D19" s="343"/>
      <c r="E19" s="343"/>
      <c r="F19" s="358"/>
      <c r="G19" s="358"/>
    </row>
    <row r="20" spans="1:7">
      <c r="A20" s="346"/>
      <c r="B20" s="367"/>
      <c r="C20" s="368"/>
      <c r="D20" s="343"/>
      <c r="E20" s="343"/>
      <c r="F20" s="358"/>
      <c r="G20" s="358"/>
    </row>
    <row r="21" spans="1:7">
      <c r="A21" s="346">
        <v>4</v>
      </c>
      <c r="B21" s="347">
        <v>5116198</v>
      </c>
      <c r="C21" s="348" t="s">
        <v>129</v>
      </c>
      <c r="D21" s="343"/>
      <c r="E21" s="343"/>
      <c r="F21" s="359"/>
      <c r="G21" s="360"/>
    </row>
    <row r="22" spans="1:7">
      <c r="A22" s="346"/>
      <c r="B22" s="367"/>
      <c r="C22" s="368"/>
      <c r="D22" s="343"/>
      <c r="E22" s="343"/>
      <c r="F22" s="358"/>
      <c r="G22" s="358"/>
    </row>
    <row r="23" spans="1:7">
      <c r="A23" s="346">
        <v>5</v>
      </c>
      <c r="B23" s="347">
        <v>5102906</v>
      </c>
      <c r="C23" s="348" t="s">
        <v>130</v>
      </c>
      <c r="D23" s="524" t="s">
        <v>131</v>
      </c>
      <c r="E23" s="343"/>
      <c r="F23" s="356"/>
      <c r="G23" s="356"/>
    </row>
    <row r="24" spans="1:7">
      <c r="A24" s="346"/>
      <c r="B24" s="347"/>
      <c r="C24" s="348" t="s">
        <v>132</v>
      </c>
      <c r="D24" s="343"/>
      <c r="E24" s="343"/>
      <c r="F24" s="356"/>
      <c r="G24" s="356"/>
    </row>
    <row r="25" spans="1:7">
      <c r="A25" s="346"/>
      <c r="B25" s="347"/>
      <c r="C25" s="348" t="s">
        <v>133</v>
      </c>
      <c r="D25" s="343"/>
      <c r="E25" s="343"/>
      <c r="F25" s="356"/>
      <c r="G25" s="356"/>
    </row>
    <row r="26" spans="1:7">
      <c r="A26" s="346"/>
      <c r="B26" s="347"/>
      <c r="C26" s="348" t="s">
        <v>134</v>
      </c>
      <c r="D26" s="343"/>
      <c r="E26" s="343"/>
      <c r="F26" s="356"/>
      <c r="G26" s="356"/>
    </row>
    <row r="27" spans="1:7">
      <c r="A27" s="346"/>
      <c r="B27" s="347"/>
      <c r="C27" s="348">
        <v>110044</v>
      </c>
      <c r="D27" s="343"/>
      <c r="E27" s="343"/>
      <c r="F27" s="356"/>
      <c r="G27" s="356"/>
    </row>
    <row r="28" spans="1:7">
      <c r="A28" s="346">
        <v>6</v>
      </c>
      <c r="B28" s="525">
        <v>5102906</v>
      </c>
      <c r="C28" s="526" t="s">
        <v>135</v>
      </c>
      <c r="D28" s="343"/>
      <c r="E28" s="343"/>
      <c r="F28" s="362"/>
      <c r="G28" s="358"/>
    </row>
    <row r="29" spans="1:7">
      <c r="A29" s="346"/>
      <c r="B29" s="367"/>
      <c r="C29" s="368"/>
      <c r="D29" s="343"/>
      <c r="E29" s="343"/>
    </row>
    <row r="30" spans="1:7">
      <c r="A30" s="346">
        <v>7</v>
      </c>
      <c r="B30" s="363">
        <v>5104521</v>
      </c>
      <c r="C30" s="364" t="s">
        <v>136</v>
      </c>
      <c r="D30" s="343"/>
      <c r="E30" s="343"/>
    </row>
    <row r="31" spans="1:7">
      <c r="A31" s="346"/>
      <c r="B31" s="363"/>
      <c r="C31" s="364" t="s">
        <v>137</v>
      </c>
      <c r="D31" s="343"/>
      <c r="E31" s="343"/>
    </row>
    <row r="32" spans="1:7">
      <c r="A32" s="346"/>
      <c r="B32" s="363"/>
      <c r="C32" s="364" t="s">
        <v>138</v>
      </c>
      <c r="D32" s="343"/>
      <c r="E32" s="343"/>
    </row>
    <row r="33" spans="1:5">
      <c r="A33" s="343"/>
      <c r="B33" s="371"/>
      <c r="C33" s="364" t="s">
        <v>139</v>
      </c>
      <c r="D33" s="343"/>
      <c r="E33" s="343"/>
    </row>
    <row r="34" spans="1:5">
      <c r="A34" s="343"/>
      <c r="B34" s="371"/>
      <c r="C34" s="364" t="s">
        <v>140</v>
      </c>
      <c r="D34" s="343"/>
      <c r="E34" s="343"/>
    </row>
    <row r="35" spans="1:5">
      <c r="A35" s="343"/>
      <c r="B35" s="371"/>
      <c r="C35" s="364">
        <v>382210</v>
      </c>
      <c r="D35" s="343"/>
      <c r="E35" s="343"/>
    </row>
    <row r="36" spans="1:5">
      <c r="A36" s="343"/>
      <c r="B36" s="367"/>
      <c r="C36" s="368"/>
      <c r="D36" s="343"/>
      <c r="E36" s="343"/>
    </row>
    <row r="37" spans="1:5">
      <c r="A37" s="346">
        <v>8</v>
      </c>
      <c r="B37" s="363">
        <v>5100116</v>
      </c>
      <c r="C37" s="364" t="s">
        <v>141</v>
      </c>
      <c r="D37" s="343"/>
      <c r="E37" s="343"/>
    </row>
    <row r="38" spans="1:5">
      <c r="A38" s="346"/>
      <c r="B38" s="363"/>
      <c r="C38" s="364" t="s">
        <v>142</v>
      </c>
      <c r="D38" s="343"/>
      <c r="E38" s="343"/>
    </row>
    <row r="39" spans="1:5">
      <c r="A39" s="346"/>
      <c r="B39" s="363"/>
      <c r="C39" s="364" t="s">
        <v>143</v>
      </c>
      <c r="D39" s="343"/>
      <c r="E39" s="343"/>
    </row>
    <row r="40" spans="1:5">
      <c r="A40" s="343"/>
      <c r="B40" s="371"/>
      <c r="C40" s="364" t="s">
        <v>144</v>
      </c>
      <c r="D40" s="343"/>
      <c r="E40" s="343"/>
    </row>
    <row r="41" spans="1:5">
      <c r="A41" s="343"/>
      <c r="B41" s="371"/>
      <c r="C41" s="364" t="s">
        <v>145</v>
      </c>
      <c r="D41" s="343"/>
      <c r="E41" s="343"/>
    </row>
    <row r="42" spans="1:5">
      <c r="A42" s="343"/>
      <c r="B42" s="371"/>
      <c r="C42" s="364" t="s">
        <v>140</v>
      </c>
      <c r="D42" s="343"/>
      <c r="E42" s="343"/>
    </row>
    <row r="43" spans="1:5">
      <c r="A43" s="343"/>
      <c r="B43" s="371"/>
      <c r="C43" s="364">
        <v>380061</v>
      </c>
      <c r="D43" s="343"/>
      <c r="E43" s="343"/>
    </row>
    <row r="44" spans="1:5">
      <c r="A44" s="343"/>
      <c r="B44" s="367"/>
      <c r="C44" s="368"/>
      <c r="D44" s="343"/>
      <c r="E44" s="343"/>
    </row>
    <row r="45" spans="1:5">
      <c r="A45" s="346">
        <v>9</v>
      </c>
      <c r="B45" s="347">
        <v>5116469</v>
      </c>
      <c r="C45" s="364" t="s">
        <v>146</v>
      </c>
      <c r="D45" s="343"/>
      <c r="E45" s="343"/>
    </row>
    <row r="46" spans="1:5">
      <c r="A46" s="343"/>
      <c r="B46" s="361"/>
      <c r="C46" s="348" t="s">
        <v>147</v>
      </c>
      <c r="D46" s="343"/>
      <c r="E46" s="343"/>
    </row>
    <row r="47" spans="1:5">
      <c r="A47" s="343"/>
      <c r="B47" s="361"/>
      <c r="C47" s="348" t="s">
        <v>148</v>
      </c>
      <c r="D47" s="343"/>
      <c r="E47" s="343"/>
    </row>
    <row r="48" spans="1:5">
      <c r="A48" s="343"/>
      <c r="B48" s="361"/>
      <c r="C48" s="348" t="s">
        <v>149</v>
      </c>
      <c r="D48" s="343"/>
      <c r="E48" s="343"/>
    </row>
    <row r="49" spans="1:5">
      <c r="A49" s="343"/>
      <c r="B49" s="361"/>
      <c r="C49" s="348" t="s">
        <v>150</v>
      </c>
      <c r="D49" s="343"/>
      <c r="E49" s="343"/>
    </row>
    <row r="50" spans="1:5">
      <c r="A50" s="343"/>
      <c r="B50" s="361"/>
      <c r="C50" s="348" t="s">
        <v>122</v>
      </c>
      <c r="D50" s="343"/>
      <c r="E50" s="343"/>
    </row>
    <row r="51" spans="1:5">
      <c r="A51" s="343"/>
      <c r="B51" s="367"/>
      <c r="C51" s="368"/>
      <c r="D51" s="343"/>
      <c r="E51" s="343"/>
    </row>
    <row r="52" spans="1:5">
      <c r="A52" s="346">
        <v>10</v>
      </c>
      <c r="B52" s="363">
        <v>5116489</v>
      </c>
      <c r="C52" s="364" t="s">
        <v>151</v>
      </c>
      <c r="D52" s="343"/>
      <c r="E52" s="343"/>
    </row>
    <row r="53" spans="1:5">
      <c r="A53" s="346"/>
      <c r="B53" s="363"/>
      <c r="C53" s="364" t="s">
        <v>152</v>
      </c>
      <c r="D53" s="343"/>
      <c r="E53" s="343"/>
    </row>
    <row r="54" spans="1:5">
      <c r="A54" s="346"/>
      <c r="B54" s="363"/>
      <c r="C54" s="364" t="s">
        <v>153</v>
      </c>
      <c r="D54" s="343"/>
      <c r="E54" s="343"/>
    </row>
    <row r="55" spans="1:5">
      <c r="A55" s="346"/>
      <c r="B55" s="363"/>
      <c r="C55" s="364" t="s">
        <v>154</v>
      </c>
      <c r="D55" s="343"/>
      <c r="E55" s="343"/>
    </row>
    <row r="56" spans="1:5">
      <c r="A56" s="343"/>
      <c r="B56" s="371"/>
      <c r="C56" s="364" t="s">
        <v>155</v>
      </c>
      <c r="D56" s="343"/>
      <c r="E56" s="343"/>
    </row>
    <row r="57" spans="1:5">
      <c r="A57" s="343"/>
      <c r="B57" s="371"/>
      <c r="C57" s="364">
        <v>110020</v>
      </c>
      <c r="D57" s="343"/>
      <c r="E57" s="343"/>
    </row>
    <row r="58" spans="1:5">
      <c r="A58" s="343"/>
      <c r="B58" s="367"/>
      <c r="C58" s="368"/>
      <c r="D58" s="343"/>
      <c r="E58" s="343"/>
    </row>
    <row r="59" spans="1:5">
      <c r="A59" s="346">
        <v>11</v>
      </c>
      <c r="B59" s="347">
        <v>5115983</v>
      </c>
      <c r="C59" s="348" t="s">
        <v>156</v>
      </c>
      <c r="D59" s="343"/>
      <c r="E59" s="343"/>
    </row>
    <row r="60" spans="1:5">
      <c r="A60" s="343"/>
      <c r="B60" s="365"/>
      <c r="C60" s="348" t="s">
        <v>157</v>
      </c>
      <c r="D60" s="343"/>
      <c r="E60" s="343"/>
    </row>
    <row r="61" spans="1:5">
      <c r="A61" s="343"/>
      <c r="B61" s="365"/>
      <c r="C61" s="348" t="s">
        <v>158</v>
      </c>
      <c r="D61" s="343"/>
      <c r="E61" s="343"/>
    </row>
    <row r="62" spans="1:5">
      <c r="A62" s="343"/>
      <c r="B62" s="365"/>
      <c r="C62" s="348" t="s">
        <v>159</v>
      </c>
      <c r="D62" s="343"/>
      <c r="E62" s="343"/>
    </row>
    <row r="63" spans="1:5">
      <c r="A63" s="343"/>
      <c r="B63" s="361"/>
      <c r="C63" s="348" t="s">
        <v>160</v>
      </c>
      <c r="D63" s="343"/>
      <c r="E63" s="343"/>
    </row>
    <row r="64" spans="1:5">
      <c r="A64" s="343"/>
      <c r="B64" s="367"/>
      <c r="C64" s="368"/>
      <c r="D64" s="343"/>
      <c r="E64" s="343"/>
    </row>
    <row r="65" spans="1:5">
      <c r="A65" s="346">
        <v>12</v>
      </c>
      <c r="B65" s="363">
        <v>5113633</v>
      </c>
      <c r="C65" s="364" t="s">
        <v>161</v>
      </c>
      <c r="D65" s="343"/>
      <c r="E65" s="343"/>
    </row>
    <row r="66" spans="1:5">
      <c r="A66" s="346"/>
      <c r="B66" s="363"/>
      <c r="C66" s="364" t="s">
        <v>162</v>
      </c>
      <c r="D66" s="343"/>
      <c r="E66" s="343"/>
    </row>
    <row r="67" spans="1:5">
      <c r="A67" s="346"/>
      <c r="B67" s="363"/>
      <c r="C67" s="364" t="s">
        <v>163</v>
      </c>
      <c r="D67" s="343"/>
      <c r="E67" s="343"/>
    </row>
    <row r="68" spans="1:5">
      <c r="A68" s="346"/>
      <c r="B68" s="363"/>
      <c r="C68" s="364" t="s">
        <v>164</v>
      </c>
      <c r="D68" s="343"/>
      <c r="E68" s="343"/>
    </row>
    <row r="69" spans="1:5">
      <c r="A69" s="346"/>
      <c r="B69" s="363"/>
      <c r="C69" s="364" t="s">
        <v>165</v>
      </c>
      <c r="D69" s="343"/>
      <c r="E69" s="343"/>
    </row>
    <row r="70" spans="1:5">
      <c r="A70" s="346"/>
      <c r="B70" s="363"/>
      <c r="C70" s="364" t="s">
        <v>140</v>
      </c>
      <c r="D70" s="343"/>
      <c r="E70" s="343"/>
    </row>
    <row r="71" spans="1:5">
      <c r="A71" s="343"/>
      <c r="B71" s="371"/>
      <c r="C71" s="527">
        <v>382213</v>
      </c>
      <c r="D71" s="343"/>
      <c r="E71" s="343"/>
    </row>
    <row r="72" spans="1:5">
      <c r="A72" s="343"/>
      <c r="B72" s="367"/>
      <c r="C72" s="368"/>
      <c r="D72" s="343"/>
      <c r="E72" s="343"/>
    </row>
    <row r="73" spans="1:5">
      <c r="A73" s="346">
        <v>13</v>
      </c>
      <c r="B73" s="347">
        <v>5111997</v>
      </c>
      <c r="C73" s="364" t="s">
        <v>166</v>
      </c>
      <c r="D73" s="343"/>
      <c r="E73" s="343"/>
    </row>
    <row r="74" spans="1:5">
      <c r="A74" s="346"/>
      <c r="B74" s="347"/>
      <c r="C74" s="364" t="s">
        <v>167</v>
      </c>
      <c r="D74" s="343"/>
      <c r="E74" s="343"/>
    </row>
    <row r="75" spans="1:5">
      <c r="A75" s="346"/>
      <c r="B75" s="347"/>
      <c r="C75" s="364" t="s">
        <v>168</v>
      </c>
      <c r="D75" s="343"/>
      <c r="E75" s="343"/>
    </row>
    <row r="76" spans="1:5">
      <c r="A76" s="346"/>
      <c r="B76" s="347"/>
      <c r="C76" s="364" t="s">
        <v>169</v>
      </c>
      <c r="D76" s="343"/>
      <c r="E76" s="343"/>
    </row>
    <row r="77" spans="1:5">
      <c r="A77" s="343"/>
      <c r="B77" s="361"/>
      <c r="C77" s="364" t="s">
        <v>170</v>
      </c>
      <c r="D77" s="343"/>
      <c r="E77" s="343"/>
    </row>
    <row r="78" spans="1:5">
      <c r="A78" s="343"/>
      <c r="B78" s="361"/>
      <c r="C78" s="364">
        <v>382225</v>
      </c>
      <c r="D78" s="343"/>
      <c r="E78" s="343"/>
    </row>
    <row r="79" spans="1:5">
      <c r="A79" s="343"/>
      <c r="B79" s="367"/>
      <c r="C79" s="368"/>
      <c r="D79" s="343"/>
      <c r="E79" s="343"/>
    </row>
    <row r="80" spans="1:5">
      <c r="A80" s="346">
        <v>14</v>
      </c>
      <c r="B80" s="347">
        <v>5111999</v>
      </c>
      <c r="C80" s="348" t="s">
        <v>171</v>
      </c>
      <c r="D80" s="343"/>
      <c r="E80" s="343"/>
    </row>
    <row r="81" spans="1:5">
      <c r="A81" s="343"/>
      <c r="B81" s="361"/>
      <c r="C81" s="348" t="s">
        <v>172</v>
      </c>
      <c r="D81" s="343"/>
      <c r="E81" s="343"/>
    </row>
    <row r="82" spans="1:5">
      <c r="A82" s="343"/>
      <c r="B82" s="361"/>
      <c r="C82" s="348" t="s">
        <v>173</v>
      </c>
      <c r="D82" s="343"/>
      <c r="E82" s="343"/>
    </row>
    <row r="83" spans="1:5">
      <c r="A83" s="343"/>
      <c r="B83" s="361"/>
      <c r="C83" s="348" t="s">
        <v>174</v>
      </c>
      <c r="D83" s="343"/>
      <c r="E83" s="343"/>
    </row>
    <row r="84" spans="1:5">
      <c r="A84" s="343"/>
      <c r="B84" s="367"/>
      <c r="C84" s="368"/>
      <c r="D84" s="343"/>
      <c r="E84" s="343"/>
    </row>
    <row r="85" spans="1:5">
      <c r="A85" s="346">
        <v>1</v>
      </c>
      <c r="B85" s="347">
        <v>6200033</v>
      </c>
      <c r="C85" s="348" t="s">
        <v>175</v>
      </c>
      <c r="D85" s="343"/>
      <c r="E85" s="343"/>
    </row>
    <row r="86" spans="1:5">
      <c r="A86" s="343"/>
      <c r="B86" s="361"/>
      <c r="C86" s="348" t="s">
        <v>176</v>
      </c>
      <c r="D86" s="343"/>
      <c r="E86" s="343"/>
    </row>
    <row r="87" spans="1:5">
      <c r="A87" s="343"/>
      <c r="B87" s="361"/>
      <c r="C87" s="348" t="s">
        <v>177</v>
      </c>
      <c r="D87" s="343"/>
      <c r="E87" s="343"/>
    </row>
    <row r="88" spans="1:5">
      <c r="A88" s="343"/>
      <c r="B88" s="361"/>
      <c r="C88" s="348" t="s">
        <v>178</v>
      </c>
      <c r="D88" s="343"/>
      <c r="E88" s="343"/>
    </row>
    <row r="89" spans="1:5">
      <c r="A89" s="343"/>
      <c r="B89" s="361"/>
      <c r="C89" s="348" t="s">
        <v>179</v>
      </c>
      <c r="D89" s="343"/>
      <c r="E89" s="343"/>
    </row>
    <row r="90" spans="1:5">
      <c r="A90" s="343"/>
      <c r="B90" s="367"/>
      <c r="C90" s="368"/>
      <c r="D90" s="343"/>
      <c r="E90" s="343"/>
    </row>
    <row r="91" spans="1:5">
      <c r="A91" s="346">
        <v>15</v>
      </c>
      <c r="B91" s="347">
        <v>6100108</v>
      </c>
      <c r="C91" s="348" t="s">
        <v>180</v>
      </c>
      <c r="D91" s="343"/>
      <c r="E91" s="343"/>
    </row>
    <row r="92" spans="1:5">
      <c r="A92" s="343"/>
      <c r="B92" s="361"/>
      <c r="C92" s="348" t="s">
        <v>181</v>
      </c>
      <c r="D92" s="343"/>
      <c r="E92" s="343"/>
    </row>
    <row r="93" spans="1:5">
      <c r="A93" s="343"/>
      <c r="B93" s="367"/>
      <c r="C93" s="368"/>
      <c r="D93" s="343"/>
      <c r="E93" s="343"/>
    </row>
    <row r="94" spans="1:5">
      <c r="A94" s="346">
        <v>16</v>
      </c>
      <c r="B94" s="347">
        <v>6100032</v>
      </c>
      <c r="C94" s="348" t="s">
        <v>182</v>
      </c>
      <c r="D94" s="343"/>
      <c r="E94" s="343"/>
    </row>
    <row r="95" spans="1:5">
      <c r="A95" s="343"/>
      <c r="B95" s="365"/>
      <c r="C95" s="348" t="s">
        <v>183</v>
      </c>
      <c r="D95" s="343"/>
      <c r="E95" s="343"/>
    </row>
    <row r="96" spans="1:5">
      <c r="A96" s="343"/>
      <c r="B96" s="365"/>
      <c r="C96" s="348" t="s">
        <v>184</v>
      </c>
      <c r="D96" s="343"/>
      <c r="E96" s="343"/>
    </row>
    <row r="97" spans="1:5">
      <c r="A97" s="343"/>
      <c r="B97" s="367"/>
      <c r="C97" s="368"/>
      <c r="D97" s="343"/>
      <c r="E97" s="343"/>
    </row>
    <row r="98" spans="1:5">
      <c r="A98" s="346">
        <v>17</v>
      </c>
      <c r="B98" s="347">
        <v>6100248</v>
      </c>
      <c r="C98" s="348" t="s">
        <v>185</v>
      </c>
      <c r="D98" s="343"/>
      <c r="E98" s="343"/>
    </row>
    <row r="99" spans="1:5">
      <c r="A99" s="346"/>
      <c r="B99" s="347"/>
      <c r="C99" s="348" t="s">
        <v>186</v>
      </c>
      <c r="D99" s="343"/>
      <c r="E99" s="343"/>
    </row>
    <row r="100" spans="1:5">
      <c r="A100" s="346"/>
      <c r="B100" s="347"/>
      <c r="C100" s="348" t="s">
        <v>187</v>
      </c>
      <c r="D100" s="343"/>
      <c r="E100" s="343"/>
    </row>
    <row r="101" spans="1:5">
      <c r="A101" s="343"/>
      <c r="B101" s="367"/>
      <c r="C101" s="368"/>
      <c r="D101" s="343"/>
      <c r="E101" s="343"/>
    </row>
    <row r="102" spans="1:5">
      <c r="A102" s="346">
        <v>18</v>
      </c>
      <c r="B102" s="347">
        <v>6100035</v>
      </c>
      <c r="C102" s="364" t="s">
        <v>188</v>
      </c>
      <c r="D102" s="343"/>
      <c r="E102" s="343"/>
    </row>
    <row r="103" spans="1:5">
      <c r="A103" s="346"/>
      <c r="B103" s="347"/>
      <c r="C103" s="364" t="s">
        <v>189</v>
      </c>
      <c r="D103" s="343"/>
      <c r="E103" s="343"/>
    </row>
    <row r="104" spans="1:5">
      <c r="A104" s="343"/>
      <c r="B104" s="361"/>
      <c r="C104" s="364" t="s">
        <v>190</v>
      </c>
      <c r="D104" s="343"/>
      <c r="E104" s="343"/>
    </row>
    <row r="105" spans="1:5">
      <c r="A105" s="343"/>
      <c r="B105" s="361"/>
      <c r="C105" s="364" t="s">
        <v>191</v>
      </c>
      <c r="D105" s="343"/>
      <c r="E105" s="343"/>
    </row>
    <row r="106" spans="1:5">
      <c r="A106" s="343"/>
      <c r="B106" s="361"/>
      <c r="C106" s="364">
        <v>999999</v>
      </c>
      <c r="D106" s="343"/>
      <c r="E106" s="343"/>
    </row>
    <row r="107" spans="1:5">
      <c r="A107" s="343"/>
      <c r="B107" s="367"/>
      <c r="C107" s="368"/>
      <c r="D107" s="343"/>
      <c r="E107" s="343"/>
    </row>
    <row r="108" spans="1:5" ht="90.75">
      <c r="A108" s="346">
        <v>19</v>
      </c>
      <c r="B108" s="347">
        <v>5200104</v>
      </c>
      <c r="C108" s="364" t="s">
        <v>192</v>
      </c>
      <c r="D108" s="528" t="s">
        <v>193</v>
      </c>
      <c r="E108" s="343"/>
    </row>
    <row r="109" spans="1:5" ht="90.75">
      <c r="A109" s="346"/>
      <c r="B109" s="363">
        <v>5102906</v>
      </c>
      <c r="C109" s="364" t="s">
        <v>194</v>
      </c>
      <c r="D109" s="528" t="s">
        <v>195</v>
      </c>
      <c r="E109" s="343"/>
    </row>
    <row r="110" spans="1:5">
      <c r="A110" s="346"/>
      <c r="B110" s="347"/>
      <c r="C110" s="364" t="s">
        <v>196</v>
      </c>
      <c r="D110" s="343"/>
      <c r="E110" s="343"/>
    </row>
    <row r="111" spans="1:5">
      <c r="A111" s="346"/>
      <c r="B111" s="347"/>
      <c r="C111" s="364" t="s">
        <v>197</v>
      </c>
      <c r="D111" s="343"/>
      <c r="E111" s="343"/>
    </row>
    <row r="112" spans="1:5">
      <c r="A112" s="346"/>
      <c r="B112" s="347"/>
      <c r="C112" s="364" t="s">
        <v>155</v>
      </c>
      <c r="D112" s="343"/>
      <c r="E112" s="343"/>
    </row>
    <row r="113" spans="1:5">
      <c r="A113" s="346"/>
      <c r="B113" s="347"/>
      <c r="C113" s="364">
        <v>110020</v>
      </c>
      <c r="D113" s="343"/>
      <c r="E113" s="343"/>
    </row>
    <row r="114" spans="1:5">
      <c r="A114" s="343"/>
      <c r="B114" s="367"/>
      <c r="C114" s="368"/>
      <c r="D114" s="343"/>
      <c r="E114" s="343"/>
    </row>
    <row r="115" spans="1:5">
      <c r="A115" s="346">
        <v>20</v>
      </c>
      <c r="B115" s="347">
        <v>5113753</v>
      </c>
      <c r="C115" s="348" t="s">
        <v>198</v>
      </c>
      <c r="D115" s="343"/>
      <c r="E115" s="343"/>
    </row>
    <row r="116" spans="1:5">
      <c r="A116" s="343"/>
      <c r="B116" s="361"/>
      <c r="C116" s="348" t="s">
        <v>199</v>
      </c>
      <c r="D116" s="343"/>
      <c r="E116" s="343"/>
    </row>
    <row r="117" spans="1:5">
      <c r="A117" s="343"/>
      <c r="B117" s="361"/>
      <c r="C117" s="348" t="s">
        <v>200</v>
      </c>
      <c r="D117" s="343"/>
      <c r="E117" s="343"/>
    </row>
    <row r="118" spans="1:5">
      <c r="A118" s="343"/>
      <c r="B118" s="361"/>
      <c r="C118" s="348"/>
      <c r="D118" s="343"/>
      <c r="E118" s="343"/>
    </row>
    <row r="119" spans="1:5">
      <c r="A119" s="343"/>
      <c r="B119" s="367"/>
      <c r="C119" s="368"/>
      <c r="D119" s="343"/>
      <c r="E119" s="343"/>
    </row>
    <row r="120" spans="1:5">
      <c r="A120" s="346">
        <v>21</v>
      </c>
      <c r="B120" s="347">
        <v>5106390</v>
      </c>
      <c r="C120" s="348" t="s">
        <v>201</v>
      </c>
      <c r="D120" s="369" t="s">
        <v>202</v>
      </c>
      <c r="E120" s="343"/>
    </row>
    <row r="121" spans="1:5">
      <c r="A121" s="343"/>
      <c r="B121" s="361"/>
      <c r="C121" s="348" t="s">
        <v>203</v>
      </c>
      <c r="D121" s="369" t="s">
        <v>204</v>
      </c>
      <c r="E121" s="343"/>
    </row>
    <row r="122" spans="1:5">
      <c r="A122" s="343"/>
      <c r="B122" s="361"/>
      <c r="C122" s="348" t="s">
        <v>205</v>
      </c>
      <c r="D122" s="343"/>
      <c r="E122" s="343"/>
    </row>
    <row r="123" spans="1:5">
      <c r="A123" s="343"/>
      <c r="B123" s="361"/>
      <c r="C123" s="348" t="s">
        <v>206</v>
      </c>
      <c r="D123" s="343"/>
      <c r="E123" s="343"/>
    </row>
    <row r="124" spans="1:5">
      <c r="A124" s="343"/>
      <c r="B124" s="361"/>
      <c r="C124" s="348" t="s">
        <v>207</v>
      </c>
      <c r="D124" s="343"/>
      <c r="E124" s="343"/>
    </row>
    <row r="125" spans="1:5">
      <c r="A125" s="343"/>
      <c r="B125" s="361"/>
      <c r="C125" s="348" t="s">
        <v>122</v>
      </c>
      <c r="D125" s="343"/>
      <c r="E125" s="343"/>
    </row>
    <row r="126" spans="1:5">
      <c r="A126" s="343"/>
      <c r="B126" s="367"/>
      <c r="C126" s="368"/>
      <c r="D126" s="343"/>
      <c r="E126" s="343"/>
    </row>
    <row r="127" spans="1:5">
      <c r="A127" s="343"/>
      <c r="B127" s="363">
        <v>5106390</v>
      </c>
      <c r="C127" s="364" t="s">
        <v>208</v>
      </c>
      <c r="D127" s="370" t="s">
        <v>209</v>
      </c>
      <c r="E127" s="343"/>
    </row>
    <row r="128" spans="1:5">
      <c r="A128" s="343"/>
      <c r="B128" s="371"/>
      <c r="C128" s="364" t="s">
        <v>203</v>
      </c>
      <c r="D128" s="343"/>
      <c r="E128" s="343"/>
    </row>
    <row r="129" spans="1:5">
      <c r="A129" s="343"/>
      <c r="B129" s="371"/>
      <c r="C129" s="364" t="s">
        <v>210</v>
      </c>
      <c r="D129" s="343"/>
      <c r="E129" s="343"/>
    </row>
    <row r="130" spans="1:5">
      <c r="A130" s="343"/>
      <c r="B130" s="371"/>
      <c r="C130" s="364" t="s">
        <v>211</v>
      </c>
      <c r="D130" s="343"/>
      <c r="E130" s="343"/>
    </row>
    <row r="131" spans="1:5">
      <c r="A131" s="343"/>
      <c r="B131" s="371"/>
      <c r="C131" s="364" t="s">
        <v>207</v>
      </c>
      <c r="D131" s="343"/>
      <c r="E131" s="343"/>
    </row>
    <row r="132" spans="1:5">
      <c r="A132" s="343"/>
      <c r="B132" s="371"/>
      <c r="C132" s="364" t="s">
        <v>122</v>
      </c>
      <c r="D132" s="343"/>
      <c r="E132" s="343"/>
    </row>
    <row r="133" spans="1:5">
      <c r="A133" s="343"/>
      <c r="B133" s="367"/>
      <c r="C133" s="368"/>
      <c r="D133" s="343"/>
      <c r="E133" s="343"/>
    </row>
    <row r="134" spans="1:5">
      <c r="A134" s="346">
        <v>22</v>
      </c>
      <c r="B134" s="347">
        <v>5106391</v>
      </c>
      <c r="C134" s="348" t="s">
        <v>201</v>
      </c>
      <c r="D134" s="369" t="s">
        <v>212</v>
      </c>
      <c r="E134" s="343"/>
    </row>
    <row r="135" spans="1:5">
      <c r="A135" s="343"/>
      <c r="B135" s="361"/>
      <c r="C135" s="348" t="s">
        <v>203</v>
      </c>
      <c r="D135" s="369" t="s">
        <v>213</v>
      </c>
      <c r="E135" s="343"/>
    </row>
    <row r="136" spans="1:5">
      <c r="A136" s="343"/>
      <c r="B136" s="361"/>
      <c r="C136" s="348" t="s">
        <v>214</v>
      </c>
      <c r="D136" s="343"/>
      <c r="E136" s="343"/>
    </row>
    <row r="137" spans="1:5">
      <c r="A137" s="343"/>
      <c r="B137" s="361"/>
      <c r="C137" s="348" t="s">
        <v>215</v>
      </c>
      <c r="D137" s="343"/>
      <c r="E137" s="343"/>
    </row>
    <row r="138" spans="1:5">
      <c r="A138" s="343"/>
      <c r="B138" s="361"/>
      <c r="C138" s="348" t="s">
        <v>216</v>
      </c>
      <c r="D138" s="343"/>
      <c r="E138" s="343"/>
    </row>
    <row r="139" spans="1:5">
      <c r="A139" s="343"/>
      <c r="B139" s="361"/>
      <c r="C139" s="348" t="s">
        <v>207</v>
      </c>
      <c r="D139" s="343"/>
      <c r="E139" s="343"/>
    </row>
    <row r="140" spans="1:5">
      <c r="A140" s="343"/>
      <c r="B140" s="361"/>
      <c r="C140" s="348" t="s">
        <v>122</v>
      </c>
      <c r="D140" s="343"/>
      <c r="E140" s="343"/>
    </row>
    <row r="141" spans="1:5">
      <c r="A141" s="343"/>
      <c r="B141" s="367"/>
      <c r="C141" s="368"/>
      <c r="D141" s="343"/>
      <c r="E141" s="343"/>
    </row>
    <row r="142" spans="1:5">
      <c r="A142" s="346">
        <v>23</v>
      </c>
      <c r="B142" s="363">
        <v>6100085</v>
      </c>
      <c r="C142" s="364" t="s">
        <v>217</v>
      </c>
      <c r="D142" s="343"/>
      <c r="E142" s="343"/>
    </row>
    <row r="143" spans="1:5">
      <c r="A143" s="346"/>
      <c r="B143" s="363"/>
      <c r="C143" s="364" t="s">
        <v>218</v>
      </c>
      <c r="D143" s="343"/>
      <c r="E143" s="343"/>
    </row>
    <row r="144" spans="1:5">
      <c r="A144" s="343"/>
      <c r="B144" s="371"/>
      <c r="C144" s="364" t="s">
        <v>219</v>
      </c>
      <c r="D144" s="343"/>
      <c r="E144" s="343"/>
    </row>
    <row r="145" spans="1:5">
      <c r="A145" s="343"/>
      <c r="B145" s="371"/>
      <c r="C145" s="364" t="s">
        <v>220</v>
      </c>
      <c r="D145" s="343"/>
      <c r="E145" s="343"/>
    </row>
    <row r="146" spans="1:5">
      <c r="A146" s="343"/>
      <c r="B146" s="371"/>
      <c r="C146" s="364">
        <v>999999</v>
      </c>
      <c r="D146" s="343"/>
      <c r="E146" s="343"/>
    </row>
    <row r="147" spans="1:5">
      <c r="A147" s="343"/>
      <c r="B147" s="367"/>
      <c r="C147" s="368"/>
      <c r="D147" s="343"/>
      <c r="E147" s="343"/>
    </row>
    <row r="148" spans="1:5">
      <c r="A148" s="346">
        <v>24</v>
      </c>
      <c r="B148" s="363">
        <v>5103486</v>
      </c>
      <c r="C148" s="348" t="s">
        <v>221</v>
      </c>
      <c r="D148" s="363">
        <v>5103487</v>
      </c>
      <c r="E148" s="357" t="s">
        <v>221</v>
      </c>
    </row>
    <row r="149" spans="1:5">
      <c r="A149" s="346"/>
      <c r="B149" s="372" t="s">
        <v>222</v>
      </c>
      <c r="C149" s="348" t="s">
        <v>223</v>
      </c>
      <c r="D149" s="363"/>
      <c r="E149" s="357"/>
    </row>
    <row r="150" spans="1:5">
      <c r="A150" s="346"/>
      <c r="B150" s="363"/>
      <c r="C150" s="348" t="s">
        <v>224</v>
      </c>
      <c r="D150" s="363"/>
      <c r="E150" s="357"/>
    </row>
    <row r="151" spans="1:5">
      <c r="A151" s="343"/>
      <c r="B151" s="361"/>
      <c r="C151" s="348" t="s">
        <v>225</v>
      </c>
      <c r="D151" s="363" t="s">
        <v>202</v>
      </c>
      <c r="E151" s="357" t="s">
        <v>226</v>
      </c>
    </row>
    <row r="152" spans="1:5">
      <c r="A152" s="343"/>
      <c r="B152" s="361"/>
      <c r="C152" s="348" t="s">
        <v>227</v>
      </c>
      <c r="D152" s="373"/>
      <c r="E152" s="357" t="s">
        <v>228</v>
      </c>
    </row>
    <row r="153" spans="1:5">
      <c r="A153" s="343"/>
      <c r="B153" s="361"/>
      <c r="C153" s="521" t="s">
        <v>229</v>
      </c>
      <c r="D153" s="373"/>
      <c r="E153" s="357" t="s">
        <v>230</v>
      </c>
    </row>
    <row r="154" spans="1:5">
      <c r="A154" s="343"/>
      <c r="B154" s="361"/>
      <c r="C154" s="348">
        <v>421506</v>
      </c>
      <c r="D154" s="373"/>
      <c r="E154" s="357" t="s">
        <v>231</v>
      </c>
    </row>
    <row r="155" spans="1:5">
      <c r="A155" s="343"/>
      <c r="B155" s="361"/>
      <c r="C155" s="348"/>
      <c r="D155" s="373"/>
      <c r="E155" s="357"/>
    </row>
    <row r="156" spans="1:5">
      <c r="A156" s="343"/>
      <c r="B156" s="361"/>
      <c r="C156" s="348"/>
      <c r="D156" s="373"/>
      <c r="E156" s="357"/>
    </row>
    <row r="157" spans="1:5" ht="94.5">
      <c r="A157" s="343"/>
      <c r="B157" s="361"/>
      <c r="C157" s="529" t="s">
        <v>232</v>
      </c>
      <c r="D157" s="373"/>
      <c r="E157" s="357"/>
    </row>
    <row r="158" spans="1:5">
      <c r="A158" s="343"/>
      <c r="B158" s="364">
        <v>5103487</v>
      </c>
      <c r="C158" s="364" t="s">
        <v>233</v>
      </c>
      <c r="D158" s="373"/>
      <c r="E158" s="357"/>
    </row>
    <row r="159" spans="1:5">
      <c r="A159" s="343"/>
      <c r="B159" s="371"/>
      <c r="C159" s="364" t="s">
        <v>223</v>
      </c>
      <c r="D159" s="373"/>
      <c r="E159" s="357"/>
    </row>
    <row r="160" spans="1:5">
      <c r="A160" s="343"/>
      <c r="B160" s="371"/>
      <c r="C160" s="364" t="s">
        <v>234</v>
      </c>
      <c r="D160" s="373"/>
      <c r="E160" s="357"/>
    </row>
    <row r="161" spans="1:5">
      <c r="A161" s="343"/>
      <c r="B161" s="371"/>
      <c r="C161" s="364" t="s">
        <v>235</v>
      </c>
      <c r="D161" s="373"/>
      <c r="E161" s="357"/>
    </row>
    <row r="162" spans="1:5">
      <c r="A162" s="343"/>
      <c r="B162" s="371"/>
      <c r="C162" s="364" t="s">
        <v>236</v>
      </c>
      <c r="D162" s="373"/>
      <c r="E162" s="357"/>
    </row>
    <row r="163" spans="1:5">
      <c r="A163" s="343"/>
      <c r="B163" s="367"/>
      <c r="C163" s="368"/>
      <c r="D163" s="373"/>
      <c r="E163" s="357"/>
    </row>
    <row r="164" spans="1:5">
      <c r="A164" s="343"/>
      <c r="B164" s="364">
        <v>5103486</v>
      </c>
      <c r="C164" s="364" t="s">
        <v>237</v>
      </c>
      <c r="D164" s="373"/>
      <c r="E164" s="357"/>
    </row>
    <row r="165" spans="1:5">
      <c r="A165" s="343"/>
      <c r="B165" s="371"/>
      <c r="C165" s="364" t="s">
        <v>223</v>
      </c>
      <c r="D165" s="373"/>
      <c r="E165" s="357"/>
    </row>
    <row r="166" spans="1:5">
      <c r="A166" s="343"/>
      <c r="B166" s="371"/>
      <c r="C166" s="364" t="s">
        <v>238</v>
      </c>
      <c r="D166" s="373"/>
      <c r="E166" s="357"/>
    </row>
    <row r="167" spans="1:5">
      <c r="A167" s="343"/>
      <c r="B167" s="371"/>
      <c r="C167" s="364" t="s">
        <v>239</v>
      </c>
      <c r="D167" s="373"/>
      <c r="E167" s="357"/>
    </row>
    <row r="168" spans="1:5">
      <c r="A168" s="343"/>
      <c r="B168" s="371"/>
      <c r="C168" s="364" t="s">
        <v>240</v>
      </c>
      <c r="D168" s="373"/>
      <c r="E168" s="357"/>
    </row>
    <row r="169" spans="1:5">
      <c r="A169" s="343"/>
      <c r="B169" s="371"/>
      <c r="C169" s="364">
        <v>421506</v>
      </c>
      <c r="D169" s="373"/>
      <c r="E169" s="357"/>
    </row>
    <row r="170" spans="1:5">
      <c r="A170" s="343"/>
      <c r="B170" s="367"/>
      <c r="C170" s="368"/>
      <c r="D170" s="374"/>
      <c r="E170" s="374"/>
    </row>
    <row r="171" spans="1:5">
      <c r="A171" s="346">
        <v>25</v>
      </c>
      <c r="B171" s="347">
        <v>5112082</v>
      </c>
      <c r="C171" s="348" t="s">
        <v>241</v>
      </c>
      <c r="D171" s="530">
        <v>46072</v>
      </c>
      <c r="E171" s="343"/>
    </row>
    <row r="172" spans="1:5">
      <c r="A172" s="346"/>
      <c r="B172" s="347"/>
      <c r="C172" s="348" t="s">
        <v>242</v>
      </c>
      <c r="D172" s="530"/>
      <c r="E172" s="343"/>
    </row>
    <row r="173" spans="1:5">
      <c r="A173" s="343"/>
      <c r="B173" s="361"/>
      <c r="C173" s="348" t="s">
        <v>243</v>
      </c>
      <c r="D173" s="343"/>
      <c r="E173" s="343"/>
    </row>
    <row r="174" spans="1:5">
      <c r="A174" s="343"/>
      <c r="B174" s="361"/>
      <c r="C174" s="348" t="s">
        <v>244</v>
      </c>
      <c r="D174" s="343"/>
      <c r="E174" s="343"/>
    </row>
    <row r="175" spans="1:5">
      <c r="A175" s="343"/>
      <c r="B175" s="361"/>
      <c r="C175" s="348" t="s">
        <v>245</v>
      </c>
      <c r="D175" s="343"/>
      <c r="E175" s="343"/>
    </row>
    <row r="176" spans="1:5">
      <c r="A176" s="343"/>
      <c r="B176" s="361"/>
      <c r="C176" s="348" t="s">
        <v>121</v>
      </c>
      <c r="D176" s="343"/>
      <c r="E176" s="343"/>
    </row>
    <row r="177" spans="1:5">
      <c r="A177" s="343"/>
      <c r="B177" s="361"/>
      <c r="C177" s="348" t="s">
        <v>122</v>
      </c>
      <c r="D177" s="343"/>
      <c r="E177" s="343"/>
    </row>
    <row r="178" spans="1:5">
      <c r="A178" s="343"/>
      <c r="B178" s="367"/>
      <c r="C178" s="368"/>
      <c r="D178" s="343"/>
      <c r="E178" s="343"/>
    </row>
    <row r="179" spans="1:5">
      <c r="A179" s="346">
        <v>26</v>
      </c>
      <c r="B179" s="347">
        <v>6200078</v>
      </c>
      <c r="C179" s="348" t="s">
        <v>246</v>
      </c>
      <c r="D179" s="343"/>
      <c r="E179" s="343"/>
    </row>
    <row r="180" spans="1:5">
      <c r="A180" s="343"/>
      <c r="B180" s="361"/>
      <c r="C180" s="348" t="s">
        <v>247</v>
      </c>
      <c r="D180" s="343"/>
      <c r="E180" s="343"/>
    </row>
    <row r="181" spans="1:5">
      <c r="A181" s="343"/>
      <c r="B181" s="361"/>
      <c r="C181" s="348" t="s">
        <v>248</v>
      </c>
      <c r="D181" s="343"/>
      <c r="E181" s="343"/>
    </row>
    <row r="182" spans="1:5">
      <c r="A182" s="343"/>
      <c r="B182" s="361"/>
      <c r="C182" s="348" t="s">
        <v>249</v>
      </c>
      <c r="D182" s="343"/>
      <c r="E182" s="343"/>
    </row>
    <row r="183" spans="1:5">
      <c r="A183" s="343"/>
      <c r="B183" s="367"/>
      <c r="C183" s="368"/>
      <c r="D183" s="343"/>
      <c r="E183" s="343"/>
    </row>
    <row r="184" spans="1:5">
      <c r="A184" s="346">
        <v>27</v>
      </c>
      <c r="B184" s="347">
        <v>6100250</v>
      </c>
      <c r="C184" s="348" t="s">
        <v>246</v>
      </c>
      <c r="D184" s="343"/>
      <c r="E184" s="343"/>
    </row>
    <row r="185" spans="1:5">
      <c r="A185" s="343"/>
      <c r="B185" s="361"/>
      <c r="C185" s="348" t="s">
        <v>250</v>
      </c>
      <c r="D185" s="343"/>
      <c r="E185" s="343"/>
    </row>
    <row r="186" spans="1:5">
      <c r="A186" s="343"/>
      <c r="B186" s="361"/>
      <c r="C186" s="348" t="s">
        <v>251</v>
      </c>
      <c r="D186" s="343"/>
      <c r="E186" s="343"/>
    </row>
    <row r="187" spans="1:5">
      <c r="A187" s="343"/>
      <c r="B187" s="361"/>
      <c r="C187" s="348" t="s">
        <v>252</v>
      </c>
      <c r="D187" s="343"/>
      <c r="E187" s="343"/>
    </row>
    <row r="188" spans="1:5">
      <c r="A188" s="343"/>
      <c r="B188" s="367"/>
      <c r="C188" s="368"/>
      <c r="D188" s="343"/>
      <c r="E188" s="343"/>
    </row>
    <row r="189" spans="1:5">
      <c r="A189" s="346">
        <v>28</v>
      </c>
      <c r="B189" s="363">
        <v>6100257</v>
      </c>
      <c r="C189" s="364" t="s">
        <v>253</v>
      </c>
      <c r="D189" s="343"/>
      <c r="E189" s="343"/>
    </row>
    <row r="190" spans="1:5">
      <c r="A190" s="346"/>
      <c r="B190" s="363"/>
      <c r="C190" s="364" t="s">
        <v>254</v>
      </c>
      <c r="D190" s="343"/>
      <c r="E190" s="343"/>
    </row>
    <row r="191" spans="1:5">
      <c r="A191" s="343"/>
      <c r="B191" s="371"/>
      <c r="C191" s="364" t="s">
        <v>255</v>
      </c>
      <c r="D191" s="343"/>
      <c r="E191" s="343"/>
    </row>
    <row r="192" spans="1:5">
      <c r="A192" s="343"/>
      <c r="B192" s="371"/>
      <c r="C192" s="364" t="s">
        <v>256</v>
      </c>
      <c r="D192" s="343"/>
      <c r="E192" s="343"/>
    </row>
    <row r="193" spans="1:5">
      <c r="A193" s="343"/>
      <c r="B193" s="371"/>
      <c r="C193" s="364">
        <v>999999</v>
      </c>
      <c r="D193" s="343"/>
      <c r="E193" s="343"/>
    </row>
    <row r="194" spans="1:5">
      <c r="A194" s="343"/>
      <c r="B194" s="367"/>
      <c r="C194" s="368"/>
      <c r="D194" s="343"/>
      <c r="E194" s="343"/>
    </row>
    <row r="195" spans="1:5">
      <c r="A195" s="343"/>
      <c r="B195" s="347">
        <v>6100106</v>
      </c>
      <c r="C195" s="348" t="s">
        <v>257</v>
      </c>
      <c r="D195" s="343"/>
      <c r="E195" s="343"/>
    </row>
    <row r="196" spans="1:5">
      <c r="A196" s="343"/>
      <c r="B196" s="361"/>
      <c r="C196" s="348" t="s">
        <v>258</v>
      </c>
      <c r="D196" s="343"/>
      <c r="E196" s="343"/>
    </row>
    <row r="197" spans="1:5">
      <c r="A197" s="343"/>
      <c r="B197" s="361"/>
      <c r="C197" s="348" t="s">
        <v>259</v>
      </c>
      <c r="D197" s="343"/>
      <c r="E197" s="343"/>
    </row>
    <row r="198" spans="1:5">
      <c r="A198" s="343"/>
      <c r="B198" s="361"/>
      <c r="C198" s="348" t="s">
        <v>260</v>
      </c>
      <c r="D198" s="343"/>
      <c r="E198" s="343"/>
    </row>
    <row r="199" spans="1:5">
      <c r="A199" s="343"/>
      <c r="B199" s="361"/>
      <c r="C199" s="348" t="s">
        <v>261</v>
      </c>
      <c r="D199" s="343"/>
      <c r="E199" s="343"/>
    </row>
    <row r="200" spans="1:5">
      <c r="A200" s="343"/>
      <c r="B200" s="367"/>
      <c r="C200" s="368"/>
      <c r="D200" s="343"/>
      <c r="E200" s="343"/>
    </row>
    <row r="201" spans="1:5">
      <c r="A201" s="346">
        <v>30</v>
      </c>
      <c r="B201" s="347">
        <v>6100234</v>
      </c>
      <c r="C201" s="348" t="s">
        <v>262</v>
      </c>
      <c r="D201" s="343"/>
      <c r="E201" s="343"/>
    </row>
    <row r="202" spans="1:5">
      <c r="A202" s="343"/>
      <c r="B202" s="361"/>
      <c r="C202" s="348" t="s">
        <v>263</v>
      </c>
      <c r="D202" s="343"/>
      <c r="E202" s="343"/>
    </row>
    <row r="203" spans="1:5">
      <c r="A203" s="343"/>
      <c r="B203" s="361"/>
      <c r="C203" s="348" t="s">
        <v>264</v>
      </c>
      <c r="D203" s="343"/>
      <c r="E203" s="343"/>
    </row>
    <row r="204" spans="1:5">
      <c r="A204" s="343"/>
      <c r="B204" s="361"/>
      <c r="C204" s="348" t="s">
        <v>265</v>
      </c>
      <c r="D204" s="343"/>
      <c r="E204" s="343"/>
    </row>
    <row r="205" spans="1:5">
      <c r="A205" s="343"/>
      <c r="B205" s="367"/>
      <c r="C205" s="368"/>
      <c r="D205" s="343"/>
      <c r="E205" s="343"/>
    </row>
    <row r="206" spans="1:5">
      <c r="A206" s="346">
        <v>31</v>
      </c>
      <c r="B206" s="347">
        <v>6100090</v>
      </c>
      <c r="C206" s="348" t="s">
        <v>266</v>
      </c>
      <c r="D206" s="343"/>
      <c r="E206" s="343"/>
    </row>
    <row r="207" spans="1:5">
      <c r="A207" s="343"/>
      <c r="B207" s="361"/>
      <c r="C207" s="348" t="s">
        <v>267</v>
      </c>
      <c r="D207" s="343"/>
      <c r="E207" s="343"/>
    </row>
    <row r="208" spans="1:5">
      <c r="A208" s="343"/>
      <c r="B208" s="361"/>
      <c r="C208" s="348" t="s">
        <v>268</v>
      </c>
      <c r="D208" s="343"/>
      <c r="E208" s="343"/>
    </row>
    <row r="209" spans="1:5">
      <c r="A209" s="343"/>
      <c r="B209" s="361"/>
      <c r="C209" s="348" t="s">
        <v>269</v>
      </c>
      <c r="D209" s="343"/>
      <c r="E209" s="343"/>
    </row>
    <row r="210" spans="1:5">
      <c r="A210" s="343"/>
      <c r="B210" s="367"/>
      <c r="C210" s="368"/>
      <c r="D210" s="343"/>
      <c r="E210" s="343"/>
    </row>
    <row r="211" spans="1:5">
      <c r="A211" s="346">
        <v>32</v>
      </c>
      <c r="B211" s="347">
        <v>6100034</v>
      </c>
      <c r="C211" s="348" t="s">
        <v>270</v>
      </c>
      <c r="D211" s="343"/>
      <c r="E211" s="343"/>
    </row>
    <row r="212" spans="1:5">
      <c r="A212" s="343"/>
      <c r="B212" s="361"/>
      <c r="C212" s="348" t="s">
        <v>271</v>
      </c>
      <c r="D212" s="343"/>
      <c r="E212" s="343"/>
    </row>
    <row r="213" spans="1:5">
      <c r="A213" s="343"/>
      <c r="B213" s="361"/>
      <c r="C213" s="348" t="s">
        <v>272</v>
      </c>
      <c r="D213" s="343"/>
      <c r="E213" s="343"/>
    </row>
    <row r="214" spans="1:5">
      <c r="A214" s="343"/>
      <c r="B214" s="361"/>
      <c r="C214" s="348" t="s">
        <v>273</v>
      </c>
      <c r="D214" s="343"/>
      <c r="E214" s="343"/>
    </row>
    <row r="215" spans="1:5">
      <c r="A215" s="343"/>
      <c r="B215" s="361"/>
      <c r="C215" s="348" t="s">
        <v>274</v>
      </c>
      <c r="D215" s="343"/>
      <c r="E215" s="343"/>
    </row>
    <row r="216" spans="1:5">
      <c r="A216" s="343"/>
      <c r="B216" s="361"/>
      <c r="C216" s="348" t="s">
        <v>275</v>
      </c>
      <c r="D216" s="343"/>
      <c r="E216" s="343"/>
    </row>
    <row r="217" spans="1:5">
      <c r="A217" s="343"/>
      <c r="B217" s="361"/>
      <c r="C217" s="348" t="s">
        <v>276</v>
      </c>
      <c r="D217" s="343"/>
      <c r="E217" s="343"/>
    </row>
    <row r="218" spans="1:5">
      <c r="A218" s="343"/>
      <c r="B218" s="367"/>
      <c r="C218" s="368"/>
      <c r="D218" s="343"/>
      <c r="E218" s="343"/>
    </row>
    <row r="219" spans="1:5">
      <c r="A219" s="346">
        <v>33</v>
      </c>
      <c r="B219" s="347">
        <v>6100255</v>
      </c>
      <c r="C219" s="348" t="s">
        <v>277</v>
      </c>
      <c r="D219" s="343"/>
      <c r="E219" s="343"/>
    </row>
    <row r="220" spans="1:5">
      <c r="A220" s="343"/>
      <c r="B220" s="361"/>
      <c r="C220" s="348" t="s">
        <v>278</v>
      </c>
      <c r="D220" s="343"/>
      <c r="E220" s="343"/>
    </row>
    <row r="221" spans="1:5">
      <c r="A221" s="343"/>
      <c r="B221" s="361"/>
      <c r="C221" s="348" t="s">
        <v>279</v>
      </c>
      <c r="D221" s="343"/>
      <c r="E221" s="343"/>
    </row>
    <row r="222" spans="1:5">
      <c r="A222" s="343"/>
      <c r="B222" s="361"/>
      <c r="C222" s="348" t="s">
        <v>280</v>
      </c>
      <c r="D222" s="343"/>
      <c r="E222" s="343"/>
    </row>
    <row r="223" spans="1:5">
      <c r="A223" s="343"/>
      <c r="B223" s="367"/>
      <c r="C223" s="368"/>
      <c r="D223" s="343"/>
      <c r="E223" s="343"/>
    </row>
    <row r="224" spans="1:5">
      <c r="A224" s="346">
        <v>34</v>
      </c>
      <c r="B224" s="347">
        <v>6100256</v>
      </c>
      <c r="C224" s="348" t="s">
        <v>277</v>
      </c>
      <c r="D224" s="343"/>
      <c r="E224" s="343"/>
    </row>
    <row r="225" spans="1:5">
      <c r="A225" s="343"/>
      <c r="B225" s="361"/>
      <c r="C225" s="348" t="s">
        <v>281</v>
      </c>
      <c r="D225" s="343"/>
      <c r="E225" s="343"/>
    </row>
    <row r="226" spans="1:5">
      <c r="A226" s="343"/>
      <c r="B226" s="361"/>
      <c r="C226" s="348" t="s">
        <v>282</v>
      </c>
      <c r="D226" s="343"/>
      <c r="E226" s="343"/>
    </row>
    <row r="227" spans="1:5">
      <c r="A227" s="343"/>
      <c r="B227" s="361"/>
      <c r="C227" s="348" t="s">
        <v>280</v>
      </c>
      <c r="D227" s="343"/>
      <c r="E227" s="343"/>
    </row>
    <row r="228" spans="1:5">
      <c r="A228" s="343"/>
      <c r="B228" s="367"/>
      <c r="C228" s="368"/>
      <c r="D228" s="343"/>
      <c r="E228" s="343"/>
    </row>
    <row r="229" spans="1:5">
      <c r="A229" s="346">
        <v>35</v>
      </c>
      <c r="B229" s="347">
        <v>6100069</v>
      </c>
      <c r="C229" s="348" t="s">
        <v>283</v>
      </c>
      <c r="D229" s="343"/>
      <c r="E229" s="343"/>
    </row>
    <row r="230" spans="1:5">
      <c r="A230" s="343"/>
      <c r="B230" s="361"/>
      <c r="C230" s="348" t="s">
        <v>284</v>
      </c>
      <c r="D230" s="343"/>
      <c r="E230" s="343"/>
    </row>
    <row r="231" spans="1:5">
      <c r="A231" s="343"/>
      <c r="B231" s="361"/>
      <c r="C231" s="348" t="s">
        <v>285</v>
      </c>
      <c r="D231" s="343"/>
      <c r="E231" s="343"/>
    </row>
    <row r="232" spans="1:5">
      <c r="A232" s="343"/>
      <c r="B232" s="361"/>
      <c r="C232" s="348" t="s">
        <v>286</v>
      </c>
      <c r="D232" s="343"/>
      <c r="E232" s="343"/>
    </row>
    <row r="233" spans="1:5">
      <c r="A233" s="343"/>
      <c r="B233" s="361"/>
      <c r="C233" s="348" t="s">
        <v>284</v>
      </c>
      <c r="D233" s="343"/>
      <c r="E233" s="343"/>
    </row>
    <row r="234" spans="1:5">
      <c r="A234" s="343"/>
      <c r="B234" s="367"/>
      <c r="C234" s="368"/>
      <c r="D234" s="343"/>
      <c r="E234" s="343"/>
    </row>
    <row r="235" spans="1:5">
      <c r="A235" s="346">
        <v>36</v>
      </c>
      <c r="B235" s="347">
        <v>6100055</v>
      </c>
      <c r="C235" s="348" t="s">
        <v>287</v>
      </c>
      <c r="D235" s="343"/>
      <c r="E235" s="343"/>
    </row>
    <row r="236" spans="1:5">
      <c r="A236" s="343"/>
      <c r="B236" s="361"/>
      <c r="C236" s="348" t="s">
        <v>288</v>
      </c>
      <c r="D236" s="343"/>
      <c r="E236" s="343"/>
    </row>
    <row r="237" spans="1:5">
      <c r="A237" s="343"/>
      <c r="B237" s="361"/>
      <c r="C237" s="348" t="s">
        <v>289</v>
      </c>
      <c r="D237" s="343"/>
      <c r="E237" s="343"/>
    </row>
    <row r="238" spans="1:5">
      <c r="A238" s="343"/>
      <c r="B238" s="361"/>
      <c r="C238" s="348" t="s">
        <v>290</v>
      </c>
      <c r="D238" s="343"/>
      <c r="E238" s="343"/>
    </row>
    <row r="239" spans="1:5">
      <c r="A239" s="343"/>
      <c r="B239" s="361"/>
      <c r="C239" s="348" t="s">
        <v>291</v>
      </c>
      <c r="D239" s="343"/>
      <c r="E239" s="343"/>
    </row>
    <row r="240" spans="1:5">
      <c r="A240" s="343"/>
      <c r="B240" s="361"/>
      <c r="C240" s="348" t="s">
        <v>220</v>
      </c>
      <c r="D240" s="343"/>
      <c r="E240" s="343"/>
    </row>
    <row r="241" spans="1:5">
      <c r="A241" s="343"/>
      <c r="B241" s="367"/>
      <c r="C241" s="368"/>
      <c r="D241" s="343"/>
      <c r="E241" s="343"/>
    </row>
    <row r="242" spans="1:5">
      <c r="A242" s="346">
        <v>37</v>
      </c>
      <c r="B242" s="347">
        <v>6200019</v>
      </c>
      <c r="C242" s="348" t="s">
        <v>292</v>
      </c>
      <c r="D242" s="343"/>
      <c r="E242" s="343"/>
    </row>
    <row r="243" spans="1:5">
      <c r="A243" s="343"/>
      <c r="B243" s="361"/>
      <c r="C243" s="348" t="s">
        <v>293</v>
      </c>
      <c r="D243" s="343"/>
      <c r="E243" s="343"/>
    </row>
    <row r="244" spans="1:5">
      <c r="A244" s="343"/>
      <c r="B244" s="361"/>
      <c r="C244" s="348" t="s">
        <v>294</v>
      </c>
      <c r="D244" s="343"/>
      <c r="E244" s="343"/>
    </row>
    <row r="245" spans="1:5">
      <c r="A245" s="343"/>
      <c r="B245" s="361"/>
      <c r="C245" s="348" t="s">
        <v>220</v>
      </c>
      <c r="D245" s="343"/>
      <c r="E245" s="343"/>
    </row>
    <row r="246" spans="1:5">
      <c r="A246" s="343"/>
      <c r="B246" s="367"/>
      <c r="C246" s="368"/>
      <c r="D246" s="343"/>
      <c r="E246" s="343"/>
    </row>
    <row r="247" spans="1:5">
      <c r="A247" s="346">
        <v>38</v>
      </c>
      <c r="B247" s="347">
        <v>6100194</v>
      </c>
      <c r="C247" s="348" t="s">
        <v>295</v>
      </c>
      <c r="D247" s="343"/>
      <c r="E247" s="343"/>
    </row>
    <row r="248" spans="1:5">
      <c r="A248" s="343"/>
      <c r="B248" s="361"/>
      <c r="C248" s="348" t="s">
        <v>296</v>
      </c>
      <c r="D248" s="343"/>
      <c r="E248" s="343"/>
    </row>
    <row r="249" spans="1:5">
      <c r="A249" s="343"/>
      <c r="B249" s="361"/>
      <c r="C249" s="348" t="s">
        <v>297</v>
      </c>
      <c r="D249" s="343"/>
      <c r="E249" s="343"/>
    </row>
    <row r="250" spans="1:5">
      <c r="A250" s="343"/>
      <c r="B250" s="361"/>
      <c r="C250" s="348" t="s">
        <v>298</v>
      </c>
      <c r="D250" s="343"/>
      <c r="E250" s="343"/>
    </row>
    <row r="251" spans="1:5">
      <c r="A251" s="343"/>
      <c r="B251" s="361"/>
      <c r="C251" s="348" t="s">
        <v>299</v>
      </c>
      <c r="D251" s="343"/>
      <c r="E251" s="343"/>
    </row>
    <row r="252" spans="1:5">
      <c r="A252" s="343"/>
      <c r="B252" s="361"/>
      <c r="C252" s="348" t="s">
        <v>300</v>
      </c>
      <c r="D252" s="343"/>
      <c r="E252" s="343"/>
    </row>
    <row r="253" spans="1:5">
      <c r="A253" s="343"/>
      <c r="B253" s="367"/>
      <c r="C253" s="368"/>
      <c r="D253" s="343"/>
      <c r="E253" s="343"/>
    </row>
    <row r="254" spans="1:5">
      <c r="A254" s="346">
        <v>39</v>
      </c>
      <c r="B254" s="347">
        <v>6100137</v>
      </c>
      <c r="C254" s="348" t="s">
        <v>301</v>
      </c>
      <c r="D254" s="343"/>
      <c r="E254" s="343"/>
    </row>
    <row r="255" spans="1:5">
      <c r="A255" s="343"/>
      <c r="B255" s="361"/>
      <c r="C255" s="348" t="s">
        <v>302</v>
      </c>
      <c r="D255" s="343"/>
      <c r="E255" s="343"/>
    </row>
    <row r="256" spans="1:5">
      <c r="A256" s="343"/>
      <c r="B256" s="361"/>
      <c r="C256" s="348" t="s">
        <v>303</v>
      </c>
      <c r="D256" s="343"/>
      <c r="E256" s="343"/>
    </row>
    <row r="257" spans="1:5">
      <c r="A257" s="343"/>
      <c r="B257" s="361"/>
      <c r="C257" s="348" t="s">
        <v>304</v>
      </c>
      <c r="D257" s="343"/>
      <c r="E257" s="343"/>
    </row>
    <row r="258" spans="1:5">
      <c r="A258" s="343"/>
      <c r="B258" s="361"/>
      <c r="C258" s="348" t="s">
        <v>300</v>
      </c>
      <c r="D258" s="343"/>
      <c r="E258" s="343"/>
    </row>
    <row r="259" spans="1:5">
      <c r="A259" s="343"/>
      <c r="B259" s="367"/>
      <c r="C259" s="368"/>
      <c r="D259" s="343"/>
      <c r="E259" s="343"/>
    </row>
    <row r="260" spans="1:5">
      <c r="A260" s="346">
        <v>40</v>
      </c>
      <c r="B260" s="347">
        <v>5102050</v>
      </c>
      <c r="C260" s="348" t="s">
        <v>305</v>
      </c>
      <c r="D260" s="343"/>
      <c r="E260" s="343"/>
    </row>
    <row r="261" spans="1:5">
      <c r="A261" s="343"/>
      <c r="B261" s="361"/>
      <c r="C261" s="348" t="s">
        <v>306</v>
      </c>
      <c r="D261" s="343"/>
      <c r="E261" s="343"/>
    </row>
    <row r="262" spans="1:5">
      <c r="A262" s="343"/>
      <c r="B262" s="361"/>
      <c r="C262" s="348" t="s">
        <v>307</v>
      </c>
      <c r="D262" s="343"/>
      <c r="E262" s="343"/>
    </row>
    <row r="263" spans="1:5">
      <c r="A263" s="343"/>
      <c r="B263" s="361"/>
      <c r="C263" s="348" t="s">
        <v>308</v>
      </c>
      <c r="D263" s="343"/>
      <c r="E263" s="343"/>
    </row>
    <row r="264" spans="1:5">
      <c r="A264" s="343"/>
      <c r="B264" s="361"/>
      <c r="C264" s="348" t="s">
        <v>309</v>
      </c>
      <c r="D264" s="343"/>
      <c r="E264" s="343"/>
    </row>
    <row r="265" spans="1:5">
      <c r="A265" s="343"/>
      <c r="B265" s="361"/>
      <c r="C265" s="348" t="s">
        <v>122</v>
      </c>
      <c r="D265" s="343"/>
      <c r="E265" s="343"/>
    </row>
    <row r="266" spans="1:5">
      <c r="A266" s="343"/>
      <c r="B266" s="367"/>
      <c r="C266" s="368"/>
      <c r="D266" s="343"/>
      <c r="E266" s="343"/>
    </row>
    <row r="267" spans="1:5">
      <c r="A267" s="346">
        <v>41</v>
      </c>
      <c r="B267" s="347">
        <v>5116979</v>
      </c>
      <c r="C267" s="348" t="s">
        <v>310</v>
      </c>
      <c r="D267" s="343"/>
      <c r="E267" s="343"/>
    </row>
    <row r="268" spans="1:5">
      <c r="A268" s="343"/>
      <c r="B268" s="361"/>
      <c r="C268" s="348" t="s">
        <v>311</v>
      </c>
      <c r="D268" s="343"/>
      <c r="E268" s="343"/>
    </row>
    <row r="269" spans="1:5">
      <c r="A269" s="343"/>
      <c r="B269" s="361"/>
      <c r="C269" s="348" t="s">
        <v>312</v>
      </c>
      <c r="D269" s="343"/>
      <c r="E269" s="343"/>
    </row>
    <row r="270" spans="1:5">
      <c r="A270" s="343"/>
      <c r="B270" s="361"/>
      <c r="C270" s="348" t="s">
        <v>313</v>
      </c>
      <c r="D270" s="343"/>
      <c r="E270" s="343"/>
    </row>
    <row r="271" spans="1:5">
      <c r="A271" s="343"/>
      <c r="B271" s="361"/>
      <c r="C271" s="348" t="s">
        <v>314</v>
      </c>
      <c r="D271" s="343"/>
      <c r="E271" s="343"/>
    </row>
    <row r="272" spans="1:5">
      <c r="A272" s="343"/>
      <c r="B272" s="361"/>
      <c r="C272" s="348" t="s">
        <v>122</v>
      </c>
      <c r="D272" s="343"/>
      <c r="E272" s="343"/>
    </row>
    <row r="273" spans="1:5">
      <c r="A273" s="343"/>
      <c r="B273" s="367"/>
      <c r="C273" s="368"/>
      <c r="D273" s="343"/>
      <c r="E273" s="343"/>
    </row>
    <row r="274" spans="1:5">
      <c r="A274" s="346">
        <v>42</v>
      </c>
      <c r="B274" s="347">
        <v>6200001</v>
      </c>
      <c r="C274" s="348" t="s">
        <v>315</v>
      </c>
      <c r="D274" s="343"/>
      <c r="E274" s="343"/>
    </row>
    <row r="275" spans="1:5">
      <c r="A275" s="343"/>
      <c r="B275" s="361"/>
      <c r="C275" s="348" t="s">
        <v>316</v>
      </c>
      <c r="D275" s="343"/>
      <c r="E275" s="343"/>
    </row>
    <row r="276" spans="1:5">
      <c r="A276" s="343"/>
      <c r="B276" s="361"/>
      <c r="C276" s="348" t="s">
        <v>317</v>
      </c>
      <c r="D276" s="343"/>
      <c r="E276" s="343"/>
    </row>
    <row r="277" spans="1:5">
      <c r="A277" s="343"/>
      <c r="B277" s="361"/>
      <c r="C277" s="348" t="s">
        <v>318</v>
      </c>
      <c r="D277" s="343"/>
      <c r="E277" s="343"/>
    </row>
    <row r="278" spans="1:5">
      <c r="A278" s="343"/>
      <c r="B278" s="361"/>
      <c r="C278" s="348" t="s">
        <v>319</v>
      </c>
      <c r="D278" s="343"/>
      <c r="E278" s="343"/>
    </row>
    <row r="279" spans="1:5">
      <c r="A279" s="343"/>
      <c r="B279" s="361"/>
      <c r="C279" s="348" t="s">
        <v>320</v>
      </c>
      <c r="D279" s="343"/>
      <c r="E279" s="343"/>
    </row>
    <row r="280" spans="1:5">
      <c r="A280" s="343"/>
      <c r="B280" s="361"/>
      <c r="C280" s="348" t="s">
        <v>276</v>
      </c>
      <c r="D280" s="343"/>
      <c r="E280" s="343"/>
    </row>
    <row r="281" spans="1:5">
      <c r="A281" s="343"/>
      <c r="B281" s="367"/>
      <c r="C281" s="368"/>
      <c r="D281" s="343"/>
      <c r="E281" s="343"/>
    </row>
    <row r="282" spans="1:5">
      <c r="A282" s="346">
        <v>43</v>
      </c>
      <c r="B282" s="347">
        <v>5115300</v>
      </c>
      <c r="C282" s="348" t="s">
        <v>321</v>
      </c>
      <c r="D282" s="343"/>
      <c r="E282" s="343"/>
    </row>
    <row r="283" spans="1:5">
      <c r="A283" s="343"/>
      <c r="B283" s="361"/>
      <c r="C283" s="348" t="s">
        <v>322</v>
      </c>
      <c r="D283" s="343"/>
      <c r="E283" s="343"/>
    </row>
    <row r="284" spans="1:5">
      <c r="A284" s="343"/>
      <c r="B284" s="361"/>
      <c r="C284" s="348" t="s">
        <v>323</v>
      </c>
      <c r="D284" s="343"/>
      <c r="E284" s="343"/>
    </row>
    <row r="285" spans="1:5">
      <c r="A285" s="343"/>
      <c r="B285" s="361"/>
      <c r="C285" s="348" t="s">
        <v>324</v>
      </c>
      <c r="D285" s="343"/>
      <c r="E285" s="343"/>
    </row>
    <row r="286" spans="1:5">
      <c r="A286" s="343"/>
      <c r="B286" s="361"/>
      <c r="C286" s="348" t="s">
        <v>122</v>
      </c>
      <c r="D286" s="343"/>
      <c r="E286" s="343"/>
    </row>
    <row r="287" spans="1:5">
      <c r="A287" s="343"/>
      <c r="B287" s="367"/>
      <c r="C287" s="368"/>
      <c r="D287" s="343"/>
      <c r="E287" s="343"/>
    </row>
    <row r="288" spans="1:5">
      <c r="A288" s="346">
        <v>44</v>
      </c>
      <c r="B288" s="347">
        <v>6100007</v>
      </c>
      <c r="C288" s="348" t="s">
        <v>325</v>
      </c>
      <c r="D288" s="343"/>
      <c r="E288" s="343"/>
    </row>
    <row r="289" spans="1:5">
      <c r="A289" s="343"/>
      <c r="B289" s="361"/>
      <c r="C289" s="348" t="s">
        <v>326</v>
      </c>
      <c r="D289" s="343"/>
      <c r="E289" s="343"/>
    </row>
    <row r="290" spans="1:5">
      <c r="A290" s="343"/>
      <c r="B290" s="361"/>
      <c r="C290" s="348" t="s">
        <v>327</v>
      </c>
      <c r="D290" s="343"/>
      <c r="E290" s="343"/>
    </row>
    <row r="291" spans="1:5">
      <c r="A291" s="343"/>
      <c r="B291" s="361"/>
      <c r="C291" s="348" t="s">
        <v>328</v>
      </c>
      <c r="D291" s="343"/>
      <c r="E291" s="343"/>
    </row>
    <row r="292" spans="1:5">
      <c r="A292" s="343"/>
      <c r="B292" s="361"/>
      <c r="C292" s="348" t="s">
        <v>329</v>
      </c>
      <c r="D292" s="343"/>
      <c r="E292" s="343"/>
    </row>
    <row r="293" spans="1:5">
      <c r="A293" s="343"/>
      <c r="B293" s="361"/>
      <c r="C293" s="348" t="s">
        <v>330</v>
      </c>
      <c r="D293" s="343"/>
      <c r="E293" s="343"/>
    </row>
    <row r="294" spans="1:5">
      <c r="A294" s="343"/>
      <c r="B294" s="361"/>
      <c r="C294" s="348" t="s">
        <v>331</v>
      </c>
      <c r="D294" s="343"/>
      <c r="E294" s="343"/>
    </row>
    <row r="295" spans="1:5">
      <c r="A295" s="343"/>
      <c r="B295" s="367"/>
      <c r="C295" s="368"/>
      <c r="D295" s="343"/>
      <c r="E295" s="343"/>
    </row>
    <row r="296" spans="1:5">
      <c r="A296" s="346">
        <v>45</v>
      </c>
      <c r="B296" s="347">
        <v>6100279</v>
      </c>
      <c r="C296" s="348" t="s">
        <v>332</v>
      </c>
      <c r="D296" s="343"/>
      <c r="E296" s="343"/>
    </row>
    <row r="297" spans="1:5">
      <c r="A297" s="343"/>
      <c r="B297" s="361"/>
      <c r="C297" s="348" t="s">
        <v>333</v>
      </c>
      <c r="D297" s="343"/>
      <c r="E297" s="343"/>
    </row>
    <row r="298" spans="1:5">
      <c r="A298" s="343"/>
      <c r="B298" s="361"/>
      <c r="C298" s="348" t="s">
        <v>334</v>
      </c>
      <c r="D298" s="343"/>
      <c r="E298" s="343"/>
    </row>
    <row r="299" spans="1:5">
      <c r="A299" s="343"/>
      <c r="B299" s="361"/>
      <c r="C299" s="348" t="s">
        <v>335</v>
      </c>
      <c r="D299" s="343"/>
      <c r="E299" s="343"/>
    </row>
    <row r="300" spans="1:5">
      <c r="A300" s="343"/>
      <c r="B300" s="367"/>
      <c r="C300" s="368"/>
      <c r="D300" s="343"/>
      <c r="E300" s="343"/>
    </row>
    <row r="301" spans="1:5">
      <c r="A301" s="346">
        <v>46</v>
      </c>
      <c r="B301" s="347">
        <v>6200074</v>
      </c>
      <c r="C301" s="348" t="s">
        <v>332</v>
      </c>
      <c r="D301" s="343"/>
      <c r="E301" s="343"/>
    </row>
    <row r="302" spans="1:5">
      <c r="A302" s="343"/>
      <c r="B302" s="361"/>
      <c r="C302" s="348" t="s">
        <v>336</v>
      </c>
      <c r="D302" s="343"/>
      <c r="E302" s="343"/>
    </row>
    <row r="303" spans="1:5">
      <c r="A303" s="343"/>
      <c r="B303" s="361"/>
      <c r="C303" s="348" t="s">
        <v>337</v>
      </c>
      <c r="D303" s="343"/>
      <c r="E303" s="343"/>
    </row>
    <row r="304" spans="1:5">
      <c r="A304" s="343"/>
      <c r="B304" s="361"/>
      <c r="C304" s="348" t="s">
        <v>335</v>
      </c>
      <c r="D304" s="343"/>
      <c r="E304" s="343"/>
    </row>
    <row r="305" spans="1:5">
      <c r="A305" s="343"/>
      <c r="B305" s="367"/>
      <c r="C305" s="368"/>
      <c r="D305" s="343"/>
      <c r="E305" s="343"/>
    </row>
    <row r="306" spans="1:5">
      <c r="A306" s="346">
        <v>47</v>
      </c>
      <c r="B306" s="347">
        <v>6100251</v>
      </c>
      <c r="C306" s="348" t="s">
        <v>338</v>
      </c>
      <c r="D306" s="343"/>
      <c r="E306" s="343"/>
    </row>
    <row r="307" spans="1:5">
      <c r="A307" s="343" t="s">
        <v>339</v>
      </c>
      <c r="B307" s="361"/>
      <c r="C307" s="348" t="s">
        <v>340</v>
      </c>
      <c r="D307" s="343"/>
      <c r="E307" s="343"/>
    </row>
    <row r="308" spans="1:5">
      <c r="A308" s="343"/>
      <c r="B308" s="361"/>
      <c r="C308" s="348" t="s">
        <v>341</v>
      </c>
      <c r="D308" s="343"/>
      <c r="E308" s="343"/>
    </row>
    <row r="309" spans="1:5">
      <c r="A309" s="343"/>
      <c r="B309" s="361"/>
      <c r="C309" s="348" t="s">
        <v>342</v>
      </c>
      <c r="D309" s="343"/>
      <c r="E309" s="343"/>
    </row>
    <row r="310" spans="1:5">
      <c r="A310" s="343"/>
      <c r="B310" s="361"/>
      <c r="C310" s="348" t="s">
        <v>343</v>
      </c>
      <c r="D310" s="343"/>
      <c r="E310" s="343"/>
    </row>
    <row r="311" spans="1:5">
      <c r="A311" s="343"/>
      <c r="B311" s="361"/>
      <c r="C311" s="348" t="s">
        <v>344</v>
      </c>
      <c r="D311" s="343"/>
      <c r="E311" s="343"/>
    </row>
    <row r="312" spans="1:5">
      <c r="A312" s="343"/>
      <c r="B312" s="367"/>
      <c r="C312" s="368"/>
      <c r="D312" s="343"/>
      <c r="E312" s="343"/>
    </row>
    <row r="313" spans="1:5">
      <c r="A313" s="346">
        <v>48</v>
      </c>
      <c r="B313" s="347">
        <v>6200079</v>
      </c>
      <c r="C313" s="348" t="s">
        <v>345</v>
      </c>
      <c r="D313" s="343"/>
      <c r="E313" s="343"/>
    </row>
    <row r="314" spans="1:5">
      <c r="A314" s="343"/>
      <c r="B314" s="361"/>
      <c r="C314" s="348" t="s">
        <v>346</v>
      </c>
      <c r="D314" s="343"/>
      <c r="E314" s="343"/>
    </row>
    <row r="315" spans="1:5">
      <c r="A315" s="343"/>
      <c r="B315" s="361"/>
      <c r="C315" s="348" t="s">
        <v>347</v>
      </c>
      <c r="D315" s="343"/>
      <c r="E315" s="343"/>
    </row>
    <row r="316" spans="1:5">
      <c r="A316" s="343"/>
      <c r="B316" s="367"/>
      <c r="C316" s="368"/>
      <c r="D316" s="343"/>
      <c r="E316" s="343"/>
    </row>
    <row r="317" spans="1:5">
      <c r="A317" s="346">
        <v>49</v>
      </c>
      <c r="B317" s="347">
        <v>6100292</v>
      </c>
      <c r="C317" s="348" t="s">
        <v>348</v>
      </c>
      <c r="D317" s="343"/>
      <c r="E317" s="343"/>
    </row>
    <row r="318" spans="1:5">
      <c r="A318" s="343"/>
      <c r="B318" s="361"/>
      <c r="C318" s="348" t="s">
        <v>349</v>
      </c>
      <c r="D318" s="343"/>
      <c r="E318" s="343"/>
    </row>
    <row r="319" spans="1:5">
      <c r="A319" s="343"/>
      <c r="B319" s="361"/>
      <c r="C319" s="348" t="s">
        <v>350</v>
      </c>
      <c r="D319" s="343"/>
      <c r="E319" s="343"/>
    </row>
    <row r="320" spans="1:5">
      <c r="A320" s="343"/>
      <c r="B320" s="361"/>
      <c r="C320" s="348" t="s">
        <v>351</v>
      </c>
      <c r="D320" s="343"/>
      <c r="E320" s="343"/>
    </row>
    <row r="321" spans="1:5">
      <c r="A321" s="343"/>
      <c r="B321" s="367"/>
      <c r="C321" s="368"/>
      <c r="D321" s="343"/>
      <c r="E321" s="343"/>
    </row>
    <row r="322" spans="1:5">
      <c r="A322" s="346">
        <v>50</v>
      </c>
      <c r="B322" s="347">
        <v>6200080</v>
      </c>
      <c r="C322" s="348" t="s">
        <v>352</v>
      </c>
      <c r="D322" s="343"/>
      <c r="E322" s="343"/>
    </row>
    <row r="323" spans="1:5">
      <c r="A323" s="343"/>
      <c r="B323" s="347"/>
      <c r="C323" s="348" t="s">
        <v>349</v>
      </c>
      <c r="D323" s="343"/>
      <c r="E323" s="343"/>
    </row>
    <row r="324" spans="1:5">
      <c r="A324" s="343"/>
      <c r="B324" s="347"/>
      <c r="C324" s="348" t="s">
        <v>350</v>
      </c>
      <c r="D324" s="343"/>
      <c r="E324" s="343"/>
    </row>
    <row r="325" spans="1:5">
      <c r="A325" s="343"/>
      <c r="B325" s="347"/>
      <c r="C325" s="348" t="s">
        <v>351</v>
      </c>
      <c r="D325" s="343"/>
      <c r="E325" s="343"/>
    </row>
    <row r="326" spans="1:5">
      <c r="A326" s="343"/>
      <c r="B326" s="367"/>
      <c r="C326" s="368"/>
      <c r="D326" s="343"/>
      <c r="E326" s="343"/>
    </row>
    <row r="327" spans="1:5">
      <c r="A327" s="346">
        <v>51</v>
      </c>
      <c r="B327" s="347">
        <v>6200082</v>
      </c>
      <c r="C327" s="348" t="s">
        <v>353</v>
      </c>
      <c r="D327" s="343"/>
      <c r="E327" s="343"/>
    </row>
    <row r="328" spans="1:5">
      <c r="A328" s="343"/>
      <c r="B328" s="347"/>
      <c r="C328" s="348" t="s">
        <v>354</v>
      </c>
      <c r="D328" s="343"/>
      <c r="E328" s="343"/>
    </row>
    <row r="329" spans="1:5">
      <c r="A329" s="343"/>
      <c r="B329" s="347"/>
      <c r="C329" s="348" t="s">
        <v>355</v>
      </c>
      <c r="D329" s="343"/>
      <c r="E329" s="343"/>
    </row>
    <row r="330" spans="1:5">
      <c r="A330" s="343"/>
      <c r="B330" s="347"/>
      <c r="C330" s="348" t="s">
        <v>356</v>
      </c>
      <c r="D330" s="343"/>
      <c r="E330" s="343"/>
    </row>
    <row r="331" spans="1:5">
      <c r="A331" s="343"/>
      <c r="B331" s="347"/>
      <c r="C331" s="348" t="s">
        <v>300</v>
      </c>
      <c r="D331" s="343"/>
      <c r="E331" s="343"/>
    </row>
    <row r="332" spans="1:5">
      <c r="A332" s="343"/>
      <c r="B332" s="367"/>
      <c r="C332" s="368"/>
      <c r="D332" s="343"/>
      <c r="E332" s="343"/>
    </row>
    <row r="333" spans="1:5">
      <c r="A333" s="346">
        <v>52</v>
      </c>
      <c r="B333" s="347">
        <v>6100079</v>
      </c>
      <c r="C333" s="348" t="s">
        <v>357</v>
      </c>
      <c r="D333" s="343"/>
      <c r="E333" s="343"/>
    </row>
    <row r="334" spans="1:5">
      <c r="A334" s="343"/>
      <c r="B334" s="347"/>
      <c r="C334" s="348" t="s">
        <v>358</v>
      </c>
      <c r="D334" s="343"/>
      <c r="E334" s="343"/>
    </row>
    <row r="335" spans="1:5">
      <c r="A335" s="343"/>
      <c r="B335" s="347"/>
      <c r="C335" s="348" t="s">
        <v>359</v>
      </c>
      <c r="D335" s="343"/>
      <c r="E335" s="343"/>
    </row>
    <row r="336" spans="1:5">
      <c r="A336" s="343"/>
      <c r="B336" s="347"/>
      <c r="C336" s="348" t="s">
        <v>360</v>
      </c>
      <c r="D336" s="343"/>
      <c r="E336" s="343"/>
    </row>
    <row r="337" spans="1:5">
      <c r="A337" s="343"/>
      <c r="B337" s="347"/>
      <c r="C337" s="348" t="s">
        <v>361</v>
      </c>
      <c r="D337" s="343"/>
      <c r="E337" s="343"/>
    </row>
    <row r="338" spans="1:5">
      <c r="A338" s="343"/>
      <c r="B338" s="367"/>
      <c r="C338" s="368"/>
      <c r="D338" s="343"/>
      <c r="E338" s="343"/>
    </row>
    <row r="339" spans="1:5">
      <c r="A339" s="346">
        <v>53</v>
      </c>
      <c r="B339" s="347">
        <v>6100120</v>
      </c>
      <c r="C339" s="348" t="s">
        <v>362</v>
      </c>
      <c r="D339" s="343"/>
      <c r="E339" s="343"/>
    </row>
    <row r="340" spans="1:5">
      <c r="A340" s="346"/>
      <c r="B340" s="347"/>
      <c r="C340" s="348" t="s">
        <v>363</v>
      </c>
      <c r="D340" s="343"/>
      <c r="E340" s="343"/>
    </row>
    <row r="341" spans="1:5">
      <c r="A341" s="343"/>
      <c r="B341" s="347"/>
      <c r="C341" s="348" t="s">
        <v>364</v>
      </c>
      <c r="D341" s="343"/>
      <c r="E341" s="343"/>
    </row>
    <row r="342" spans="1:5">
      <c r="A342" s="343"/>
      <c r="B342" s="347"/>
      <c r="C342" s="348" t="s">
        <v>365</v>
      </c>
      <c r="D342" s="343"/>
      <c r="E342" s="343"/>
    </row>
    <row r="343" spans="1:5">
      <c r="A343" s="343"/>
      <c r="B343" s="367"/>
      <c r="C343" s="368"/>
      <c r="D343" s="343"/>
      <c r="E343" s="343"/>
    </row>
    <row r="344" spans="1:5">
      <c r="A344" s="346">
        <v>54</v>
      </c>
      <c r="B344" s="363">
        <v>6100083</v>
      </c>
      <c r="C344" s="364" t="s">
        <v>366</v>
      </c>
      <c r="D344" s="343"/>
      <c r="E344" s="343"/>
    </row>
    <row r="345" spans="1:5">
      <c r="A345" s="346"/>
      <c r="B345" s="363"/>
      <c r="C345" s="364" t="s">
        <v>367</v>
      </c>
      <c r="D345" s="343"/>
      <c r="E345" s="343"/>
    </row>
    <row r="346" spans="1:5">
      <c r="A346" s="343"/>
      <c r="B346" s="363"/>
      <c r="C346" s="364" t="s">
        <v>368</v>
      </c>
      <c r="D346" s="343"/>
      <c r="E346" s="343"/>
    </row>
    <row r="347" spans="1:5">
      <c r="A347" s="343"/>
      <c r="B347" s="363"/>
      <c r="C347" s="364" t="s">
        <v>369</v>
      </c>
      <c r="D347" s="343"/>
      <c r="E347" s="343"/>
    </row>
    <row r="348" spans="1:5">
      <c r="A348" s="343"/>
      <c r="B348" s="363"/>
      <c r="C348" s="364" t="s">
        <v>370</v>
      </c>
      <c r="D348" s="343"/>
      <c r="E348" s="343"/>
    </row>
    <row r="349" spans="1:5">
      <c r="A349" s="343"/>
      <c r="B349" s="363"/>
      <c r="C349" s="364">
        <v>999999</v>
      </c>
      <c r="D349" s="343"/>
      <c r="E349" s="343"/>
    </row>
    <row r="350" spans="1:5">
      <c r="A350" s="343"/>
      <c r="B350" s="367"/>
      <c r="C350" s="368"/>
      <c r="D350" s="343"/>
      <c r="E350" s="343"/>
    </row>
    <row r="351" spans="1:5">
      <c r="A351" s="346">
        <v>55</v>
      </c>
      <c r="B351" s="347">
        <v>6100243</v>
      </c>
      <c r="C351" s="348" t="s">
        <v>371</v>
      </c>
      <c r="D351" s="343"/>
      <c r="E351" s="343"/>
    </row>
    <row r="352" spans="1:5">
      <c r="A352" s="343"/>
      <c r="B352" s="347"/>
      <c r="C352" s="348" t="s">
        <v>372</v>
      </c>
      <c r="D352" s="343"/>
      <c r="E352" s="343"/>
    </row>
    <row r="353" spans="1:5">
      <c r="A353" s="343"/>
      <c r="B353" s="347"/>
      <c r="C353" s="348" t="s">
        <v>373</v>
      </c>
      <c r="D353" s="343"/>
      <c r="E353" s="343"/>
    </row>
    <row r="354" spans="1:5">
      <c r="A354" s="343"/>
      <c r="B354" s="347"/>
      <c r="C354" s="348" t="s">
        <v>374</v>
      </c>
      <c r="D354" s="343"/>
      <c r="E354" s="343"/>
    </row>
    <row r="355" spans="1:5">
      <c r="A355" s="343"/>
      <c r="B355" s="347"/>
      <c r="C355" s="348" t="s">
        <v>375</v>
      </c>
      <c r="D355" s="343"/>
      <c r="E355" s="343"/>
    </row>
    <row r="356" spans="1:5">
      <c r="A356" s="343"/>
      <c r="B356" s="347"/>
      <c r="C356" s="348" t="s">
        <v>376</v>
      </c>
      <c r="D356" s="343"/>
      <c r="E356" s="343"/>
    </row>
    <row r="357" spans="1:5">
      <c r="A357" s="343"/>
      <c r="B357" s="367"/>
      <c r="C357" s="368"/>
      <c r="D357" s="343"/>
      <c r="E357" s="343"/>
    </row>
    <row r="358" spans="1:5">
      <c r="A358" s="346">
        <v>56</v>
      </c>
      <c r="B358" s="347">
        <v>6100294</v>
      </c>
      <c r="C358" s="348" t="s">
        <v>377</v>
      </c>
      <c r="D358" s="343"/>
      <c r="E358" s="343"/>
    </row>
    <row r="359" spans="1:5">
      <c r="A359" s="343"/>
      <c r="B359" s="347"/>
      <c r="C359" s="348" t="s">
        <v>378</v>
      </c>
      <c r="D359" s="343"/>
      <c r="E359" s="343"/>
    </row>
    <row r="360" spans="1:5">
      <c r="A360" s="343"/>
      <c r="B360" s="347"/>
      <c r="C360" s="348" t="s">
        <v>379</v>
      </c>
      <c r="D360" s="343"/>
      <c r="E360" s="343"/>
    </row>
    <row r="361" spans="1:5">
      <c r="A361" s="343"/>
      <c r="B361" s="347"/>
      <c r="C361" s="348" t="s">
        <v>380</v>
      </c>
      <c r="D361" s="343"/>
      <c r="E361" s="343"/>
    </row>
    <row r="362" spans="1:5">
      <c r="A362" s="343"/>
      <c r="B362" s="347"/>
      <c r="C362" s="348" t="s">
        <v>381</v>
      </c>
      <c r="D362" s="343"/>
      <c r="E362" s="343"/>
    </row>
    <row r="363" spans="1:5">
      <c r="A363" s="343"/>
      <c r="B363" s="367"/>
      <c r="C363" s="368"/>
      <c r="D363" s="343"/>
      <c r="E363" s="343"/>
    </row>
    <row r="364" spans="1:5">
      <c r="A364" s="346">
        <v>57</v>
      </c>
      <c r="B364" s="347">
        <v>6200044</v>
      </c>
      <c r="C364" s="348" t="s">
        <v>382</v>
      </c>
      <c r="D364" s="343"/>
      <c r="E364" s="343"/>
    </row>
    <row r="365" spans="1:5">
      <c r="A365" s="343"/>
      <c r="B365" s="347"/>
      <c r="C365" s="348" t="s">
        <v>383</v>
      </c>
      <c r="D365" s="343"/>
      <c r="E365" s="343"/>
    </row>
    <row r="366" spans="1:5">
      <c r="A366" s="343"/>
      <c r="B366" s="347"/>
      <c r="C366" s="348" t="s">
        <v>384</v>
      </c>
      <c r="D366" s="343"/>
      <c r="E366" s="343"/>
    </row>
    <row r="367" spans="1:5">
      <c r="A367" s="343"/>
      <c r="B367" s="347"/>
      <c r="C367" s="348" t="s">
        <v>385</v>
      </c>
      <c r="D367" s="343"/>
      <c r="E367" s="343"/>
    </row>
    <row r="368" spans="1:5">
      <c r="A368" s="343"/>
      <c r="B368" s="347"/>
      <c r="C368" s="348" t="s">
        <v>381</v>
      </c>
      <c r="D368" s="343"/>
      <c r="E368" s="343"/>
    </row>
    <row r="369" spans="1:5">
      <c r="A369" s="343"/>
      <c r="B369" s="367"/>
      <c r="C369" s="368"/>
      <c r="D369" s="343"/>
      <c r="E369" s="343"/>
    </row>
    <row r="370" spans="1:5">
      <c r="A370" s="346">
        <v>58</v>
      </c>
      <c r="B370" s="347">
        <v>6100028</v>
      </c>
      <c r="C370" s="348" t="s">
        <v>386</v>
      </c>
      <c r="D370" s="343"/>
      <c r="E370" s="343"/>
    </row>
    <row r="371" spans="1:5">
      <c r="A371" s="343"/>
      <c r="B371" s="347"/>
      <c r="C371" s="348" t="s">
        <v>387</v>
      </c>
      <c r="D371" s="343"/>
      <c r="E371" s="343"/>
    </row>
    <row r="372" spans="1:5">
      <c r="A372" s="343"/>
      <c r="B372" s="347"/>
      <c r="C372" s="348" t="s">
        <v>388</v>
      </c>
      <c r="D372" s="343"/>
      <c r="E372" s="343"/>
    </row>
    <row r="373" spans="1:5">
      <c r="A373" s="343"/>
      <c r="B373" s="347"/>
      <c r="C373" s="348" t="s">
        <v>389</v>
      </c>
      <c r="D373" s="343"/>
      <c r="E373" s="343"/>
    </row>
    <row r="374" spans="1:5">
      <c r="A374" s="343"/>
      <c r="B374" s="347"/>
      <c r="C374" s="348" t="s">
        <v>390</v>
      </c>
      <c r="D374" s="343"/>
      <c r="E374" s="343"/>
    </row>
    <row r="375" spans="1:5">
      <c r="A375" s="343"/>
      <c r="B375" s="347"/>
      <c r="C375" s="348" t="s">
        <v>388</v>
      </c>
      <c r="D375" s="343"/>
      <c r="E375" s="343"/>
    </row>
    <row r="376" spans="1:5">
      <c r="A376" s="343"/>
      <c r="B376" s="367"/>
      <c r="C376" s="368"/>
      <c r="D376" s="343"/>
      <c r="E376" s="343"/>
    </row>
    <row r="377" spans="1:5">
      <c r="A377" s="346">
        <v>59</v>
      </c>
      <c r="B377" s="363">
        <v>6100050</v>
      </c>
      <c r="C377" s="364" t="s">
        <v>391</v>
      </c>
      <c r="D377" s="343"/>
      <c r="E377" s="343"/>
    </row>
    <row r="378" spans="1:5">
      <c r="A378" s="346"/>
      <c r="B378" s="363"/>
      <c r="C378" s="364" t="s">
        <v>392</v>
      </c>
      <c r="D378" s="343"/>
      <c r="E378" s="343"/>
    </row>
    <row r="379" spans="1:5">
      <c r="A379" s="343"/>
      <c r="B379" s="363"/>
      <c r="C379" s="364" t="s">
        <v>393</v>
      </c>
      <c r="D379" s="343"/>
      <c r="E379" s="343"/>
    </row>
    <row r="380" spans="1:5">
      <c r="A380" s="343"/>
      <c r="B380" s="363"/>
      <c r="C380" s="364" t="s">
        <v>394</v>
      </c>
      <c r="D380" s="343"/>
      <c r="E380" s="343"/>
    </row>
    <row r="381" spans="1:5">
      <c r="A381" s="343"/>
      <c r="B381" s="363"/>
      <c r="C381" s="364" t="s">
        <v>395</v>
      </c>
      <c r="D381" s="343"/>
      <c r="E381" s="343"/>
    </row>
    <row r="382" spans="1:5">
      <c r="A382" s="343" t="s">
        <v>396</v>
      </c>
      <c r="B382" s="363"/>
      <c r="C382" s="364">
        <v>999999</v>
      </c>
      <c r="D382" s="343"/>
      <c r="E382" s="343"/>
    </row>
    <row r="383" spans="1:5">
      <c r="A383" s="343"/>
      <c r="B383" s="367"/>
      <c r="C383" s="368"/>
      <c r="D383" s="343"/>
      <c r="E383" s="343"/>
    </row>
    <row r="384" spans="1:5">
      <c r="A384" s="346">
        <v>60</v>
      </c>
      <c r="B384" s="363">
        <v>6100014</v>
      </c>
      <c r="C384" s="364" t="s">
        <v>397</v>
      </c>
      <c r="D384" s="347">
        <v>6200085</v>
      </c>
      <c r="E384" s="357" t="s">
        <v>398</v>
      </c>
    </row>
    <row r="385" spans="1:5">
      <c r="A385" s="343"/>
      <c r="B385" s="363"/>
      <c r="C385" s="364" t="s">
        <v>399</v>
      </c>
      <c r="D385" s="375"/>
      <c r="E385" s="357" t="s">
        <v>400</v>
      </c>
    </row>
    <row r="386" spans="1:5">
      <c r="A386" s="343"/>
      <c r="B386" s="363"/>
      <c r="C386" s="364" t="s">
        <v>401</v>
      </c>
      <c r="D386" s="375"/>
      <c r="E386" s="357" t="s">
        <v>401</v>
      </c>
    </row>
    <row r="387" spans="1:5">
      <c r="A387" s="343"/>
      <c r="B387" s="363"/>
      <c r="C387" s="364" t="s">
        <v>402</v>
      </c>
      <c r="D387" s="375"/>
      <c r="E387" s="357" t="s">
        <v>402</v>
      </c>
    </row>
    <row r="388" spans="1:5">
      <c r="A388" s="343"/>
      <c r="B388" s="363"/>
      <c r="C388" s="364" t="s">
        <v>381</v>
      </c>
      <c r="D388" s="375"/>
      <c r="E388" s="357" t="s">
        <v>381</v>
      </c>
    </row>
    <row r="389" spans="1:5">
      <c r="A389" s="343"/>
      <c r="B389" s="367"/>
      <c r="C389" s="368"/>
      <c r="D389" s="343"/>
      <c r="E389" s="343"/>
    </row>
    <row r="390" spans="1:5">
      <c r="A390" s="346">
        <v>61</v>
      </c>
      <c r="B390" s="347">
        <v>6100059</v>
      </c>
      <c r="C390" s="348" t="s">
        <v>403</v>
      </c>
      <c r="D390" s="531" t="s">
        <v>404</v>
      </c>
      <c r="E390" s="343"/>
    </row>
    <row r="391" spans="1:5">
      <c r="A391" s="343"/>
      <c r="B391" s="347"/>
      <c r="C391" s="348" t="s">
        <v>405</v>
      </c>
      <c r="D391" s="343"/>
      <c r="E391" s="343"/>
    </row>
    <row r="392" spans="1:5">
      <c r="A392" s="343"/>
      <c r="B392" s="347"/>
      <c r="C392" s="348" t="s">
        <v>406</v>
      </c>
      <c r="D392" s="343"/>
      <c r="E392" s="343"/>
    </row>
    <row r="393" spans="1:5">
      <c r="A393" s="343"/>
      <c r="B393" s="347"/>
      <c r="C393" s="348" t="s">
        <v>407</v>
      </c>
      <c r="D393" s="343"/>
      <c r="E393" s="343"/>
    </row>
    <row r="394" spans="1:5">
      <c r="A394" s="343"/>
      <c r="B394" s="347"/>
      <c r="C394" s="348" t="s">
        <v>408</v>
      </c>
      <c r="D394" s="343"/>
      <c r="E394" s="343"/>
    </row>
    <row r="395" spans="1:5">
      <c r="A395" s="343"/>
      <c r="B395" s="367"/>
      <c r="C395" s="368"/>
      <c r="D395" s="343"/>
      <c r="E395" s="343"/>
    </row>
    <row r="396" spans="1:5">
      <c r="A396" s="346">
        <v>62</v>
      </c>
      <c r="B396" s="347">
        <v>6100145</v>
      </c>
      <c r="C396" s="348" t="s">
        <v>409</v>
      </c>
      <c r="D396" s="531" t="s">
        <v>410</v>
      </c>
      <c r="E396" s="343"/>
    </row>
    <row r="397" spans="1:5">
      <c r="A397" s="343"/>
      <c r="B397" s="347"/>
      <c r="C397" s="348" t="s">
        <v>411</v>
      </c>
      <c r="D397" s="343"/>
      <c r="E397" s="343"/>
    </row>
    <row r="398" spans="1:5">
      <c r="A398" s="343"/>
      <c r="B398" s="347"/>
      <c r="C398" s="348" t="s">
        <v>412</v>
      </c>
      <c r="D398" s="343"/>
      <c r="E398" s="343"/>
    </row>
    <row r="399" spans="1:5">
      <c r="A399" s="343"/>
      <c r="B399" s="347"/>
      <c r="C399" s="348" t="s">
        <v>413</v>
      </c>
      <c r="D399" s="343"/>
      <c r="E399" s="343"/>
    </row>
    <row r="400" spans="1:5">
      <c r="A400" s="343"/>
      <c r="B400" s="347"/>
      <c r="C400" s="348" t="s">
        <v>408</v>
      </c>
      <c r="D400" s="343"/>
      <c r="E400" s="343"/>
    </row>
    <row r="401" spans="1:5">
      <c r="A401" s="343"/>
      <c r="B401" s="347"/>
      <c r="C401" s="348" t="s">
        <v>414</v>
      </c>
      <c r="D401" s="343"/>
      <c r="E401" s="343"/>
    </row>
    <row r="402" spans="1:5">
      <c r="A402" s="343"/>
      <c r="B402" s="347"/>
      <c r="C402" s="348" t="s">
        <v>408</v>
      </c>
      <c r="D402" s="343"/>
      <c r="E402" s="343"/>
    </row>
    <row r="403" spans="1:5">
      <c r="A403" s="343"/>
      <c r="B403" s="367"/>
      <c r="C403" s="368"/>
      <c r="D403" s="343"/>
      <c r="E403" s="343"/>
    </row>
    <row r="404" spans="1:5">
      <c r="A404" s="346">
        <v>63</v>
      </c>
      <c r="B404" s="363">
        <v>6100058</v>
      </c>
      <c r="C404" s="364" t="s">
        <v>415</v>
      </c>
      <c r="D404" s="343"/>
      <c r="E404" s="343"/>
    </row>
    <row r="405" spans="1:5">
      <c r="A405" s="346"/>
      <c r="B405" s="363"/>
      <c r="C405" s="364" t="s">
        <v>416</v>
      </c>
      <c r="D405" s="343"/>
      <c r="E405" s="343"/>
    </row>
    <row r="406" spans="1:5">
      <c r="A406" s="343"/>
      <c r="B406" s="363"/>
      <c r="C406" s="364" t="s">
        <v>417</v>
      </c>
      <c r="D406" s="343"/>
      <c r="E406" s="343"/>
    </row>
    <row r="407" spans="1:5">
      <c r="A407" s="343"/>
      <c r="B407" s="363"/>
      <c r="C407" s="364" t="s">
        <v>418</v>
      </c>
      <c r="D407" s="343"/>
      <c r="E407" s="343"/>
    </row>
    <row r="408" spans="1:5">
      <c r="A408" s="343"/>
      <c r="B408" s="363"/>
      <c r="C408" s="364">
        <v>999999</v>
      </c>
      <c r="D408" s="343"/>
      <c r="E408" s="343"/>
    </row>
    <row r="409" spans="1:5">
      <c r="A409" s="343"/>
      <c r="B409" s="367"/>
      <c r="C409" s="368"/>
      <c r="D409" s="343"/>
      <c r="E409" s="343"/>
    </row>
    <row r="410" spans="1:5">
      <c r="A410" s="346">
        <v>64</v>
      </c>
      <c r="B410" s="347">
        <v>6200017</v>
      </c>
      <c r="C410" s="348" t="s">
        <v>419</v>
      </c>
      <c r="D410" s="343"/>
      <c r="E410" s="343"/>
    </row>
    <row r="411" spans="1:5">
      <c r="A411" s="343"/>
      <c r="B411" s="347"/>
      <c r="C411" s="348" t="s">
        <v>420</v>
      </c>
      <c r="D411" s="343"/>
      <c r="E411" s="343"/>
    </row>
    <row r="412" spans="1:5">
      <c r="A412" s="343"/>
      <c r="B412" s="347"/>
      <c r="C412" s="348" t="s">
        <v>421</v>
      </c>
      <c r="D412" s="343"/>
      <c r="E412" s="343"/>
    </row>
    <row r="413" spans="1:5">
      <c r="A413" s="343"/>
      <c r="B413" s="347"/>
      <c r="C413" s="348" t="s">
        <v>422</v>
      </c>
      <c r="D413" s="343"/>
      <c r="E413" s="343"/>
    </row>
    <row r="414" spans="1:5">
      <c r="A414" s="343"/>
      <c r="B414" s="347"/>
      <c r="C414" s="348" t="s">
        <v>423</v>
      </c>
      <c r="D414" s="343"/>
      <c r="E414" s="343"/>
    </row>
    <row r="415" spans="1:5">
      <c r="A415" s="343"/>
      <c r="B415" s="367"/>
      <c r="C415" s="368"/>
      <c r="D415" s="343"/>
      <c r="E415" s="343"/>
    </row>
    <row r="416" spans="1:5">
      <c r="A416" s="346">
        <v>65</v>
      </c>
      <c r="B416" s="347">
        <v>6100122</v>
      </c>
      <c r="C416" s="348" t="s">
        <v>424</v>
      </c>
      <c r="D416" s="343"/>
      <c r="E416" s="343"/>
    </row>
    <row r="417" spans="1:5">
      <c r="A417" s="343"/>
      <c r="B417" s="347"/>
      <c r="C417" s="348" t="s">
        <v>425</v>
      </c>
      <c r="D417" s="343"/>
      <c r="E417" s="343"/>
    </row>
    <row r="418" spans="1:5">
      <c r="A418" s="343"/>
      <c r="B418" s="347"/>
      <c r="C418" s="348" t="s">
        <v>426</v>
      </c>
      <c r="D418" s="343"/>
      <c r="E418" s="343"/>
    </row>
    <row r="419" spans="1:5">
      <c r="A419" s="343"/>
      <c r="B419" s="347"/>
      <c r="C419" s="348" t="s">
        <v>427</v>
      </c>
      <c r="D419" s="343"/>
      <c r="E419" s="343"/>
    </row>
    <row r="420" spans="1:5">
      <c r="A420" s="343"/>
      <c r="B420" s="347"/>
      <c r="C420" s="348" t="s">
        <v>428</v>
      </c>
      <c r="D420" s="343"/>
      <c r="E420" s="343"/>
    </row>
    <row r="421" spans="1:5">
      <c r="A421" s="343"/>
      <c r="B421" s="347"/>
      <c r="C421" s="348" t="s">
        <v>429</v>
      </c>
      <c r="D421" s="343"/>
      <c r="E421" s="343"/>
    </row>
    <row r="422" spans="1:5">
      <c r="A422" s="343"/>
      <c r="B422" s="347"/>
      <c r="C422" s="348" t="s">
        <v>430</v>
      </c>
      <c r="D422" s="343"/>
      <c r="E422" s="343"/>
    </row>
    <row r="423" spans="1:5">
      <c r="A423" s="343"/>
      <c r="B423" s="367"/>
      <c r="C423" s="368"/>
      <c r="D423" s="343"/>
      <c r="E423" s="343"/>
    </row>
    <row r="424" spans="1:5">
      <c r="A424" s="346">
        <v>66</v>
      </c>
      <c r="B424" s="347">
        <v>6100012</v>
      </c>
      <c r="C424" s="348" t="s">
        <v>431</v>
      </c>
      <c r="D424" s="343"/>
      <c r="E424" s="343"/>
    </row>
    <row r="425" spans="1:5">
      <c r="A425" s="343"/>
      <c r="B425" s="347"/>
      <c r="C425" s="348" t="s">
        <v>432</v>
      </c>
      <c r="D425" s="343"/>
      <c r="E425" s="343"/>
    </row>
    <row r="426" spans="1:5">
      <c r="A426" s="343"/>
      <c r="B426" s="347"/>
      <c r="C426" s="348" t="s">
        <v>433</v>
      </c>
      <c r="D426" s="343"/>
      <c r="E426" s="343"/>
    </row>
    <row r="427" spans="1:5">
      <c r="A427" s="343"/>
      <c r="B427" s="347"/>
      <c r="C427" s="348" t="s">
        <v>434</v>
      </c>
      <c r="D427" s="343"/>
      <c r="E427" s="343"/>
    </row>
    <row r="428" spans="1:5">
      <c r="A428" s="343"/>
      <c r="B428" s="347"/>
      <c r="C428" s="348" t="s">
        <v>435</v>
      </c>
      <c r="D428" s="343"/>
      <c r="E428" s="343"/>
    </row>
    <row r="429" spans="1:5">
      <c r="A429" s="343"/>
      <c r="B429" s="347"/>
      <c r="C429" s="348" t="s">
        <v>436</v>
      </c>
      <c r="D429" s="343"/>
      <c r="E429" s="343"/>
    </row>
    <row r="430" spans="1:5">
      <c r="A430" s="343"/>
      <c r="B430" s="367"/>
      <c r="C430" s="368"/>
      <c r="D430" s="343"/>
      <c r="E430" s="343"/>
    </row>
    <row r="431" spans="1:5">
      <c r="A431" s="346">
        <v>67</v>
      </c>
      <c r="B431" s="347">
        <v>6100259</v>
      </c>
      <c r="C431" s="348" t="s">
        <v>437</v>
      </c>
      <c r="D431" s="343"/>
      <c r="E431" s="343"/>
    </row>
    <row r="432" spans="1:5">
      <c r="A432" s="343"/>
      <c r="B432" s="347"/>
      <c r="C432" s="348" t="s">
        <v>438</v>
      </c>
      <c r="D432" s="343"/>
      <c r="E432" s="343"/>
    </row>
    <row r="433" spans="1:5">
      <c r="A433" s="343"/>
      <c r="B433" s="347"/>
      <c r="C433" s="348" t="s">
        <v>439</v>
      </c>
      <c r="D433" s="343"/>
      <c r="E433" s="343"/>
    </row>
    <row r="434" spans="1:5">
      <c r="A434" s="343"/>
      <c r="B434" s="347"/>
      <c r="C434" s="348" t="s">
        <v>440</v>
      </c>
      <c r="D434" s="343"/>
      <c r="E434" s="343"/>
    </row>
    <row r="435" spans="1:5">
      <c r="A435" s="343"/>
      <c r="B435" s="347"/>
      <c r="C435" s="348" t="s">
        <v>441</v>
      </c>
      <c r="D435" s="343"/>
      <c r="E435" s="343"/>
    </row>
    <row r="436" spans="1:5">
      <c r="A436" s="343"/>
      <c r="B436" s="367"/>
      <c r="C436" s="368"/>
      <c r="D436" s="343"/>
      <c r="E436" s="343"/>
    </row>
    <row r="437" spans="1:5">
      <c r="A437" s="346">
        <v>68</v>
      </c>
      <c r="B437" s="347">
        <v>6100115</v>
      </c>
      <c r="C437" s="348" t="s">
        <v>442</v>
      </c>
      <c r="D437" s="343"/>
      <c r="E437" s="343"/>
    </row>
    <row r="438" spans="1:5">
      <c r="A438" s="343"/>
      <c r="B438" s="347"/>
      <c r="C438" s="348" t="s">
        <v>443</v>
      </c>
      <c r="D438" s="343"/>
      <c r="E438" s="343"/>
    </row>
    <row r="439" spans="1:5">
      <c r="A439" s="343"/>
      <c r="B439" s="347"/>
      <c r="C439" s="348" t="s">
        <v>444</v>
      </c>
      <c r="D439" s="343"/>
      <c r="E439" s="343"/>
    </row>
    <row r="440" spans="1:5">
      <c r="A440" s="343"/>
      <c r="B440" s="347"/>
      <c r="C440" s="348" t="s">
        <v>445</v>
      </c>
      <c r="D440" s="343"/>
      <c r="E440" s="343"/>
    </row>
    <row r="441" spans="1:5">
      <c r="A441" s="343"/>
      <c r="B441" s="347"/>
      <c r="C441" s="348" t="s">
        <v>276</v>
      </c>
      <c r="D441" s="343"/>
      <c r="E441" s="343"/>
    </row>
    <row r="442" spans="1:5">
      <c r="A442" s="343"/>
      <c r="B442" s="347"/>
      <c r="C442" s="348" t="s">
        <v>446</v>
      </c>
      <c r="D442" s="343"/>
      <c r="E442" s="343"/>
    </row>
    <row r="443" spans="1:5">
      <c r="A443" s="343"/>
      <c r="B443" s="347"/>
      <c r="C443" s="348" t="s">
        <v>447</v>
      </c>
      <c r="D443" s="343"/>
      <c r="E443" s="343"/>
    </row>
    <row r="444" spans="1:5">
      <c r="A444" s="343"/>
      <c r="B444" s="347"/>
      <c r="C444" s="348" t="s">
        <v>276</v>
      </c>
      <c r="D444" s="343"/>
      <c r="E444" s="343"/>
    </row>
    <row r="445" spans="1:5">
      <c r="A445" s="343"/>
      <c r="B445" s="367"/>
      <c r="C445" s="368"/>
      <c r="D445" s="343"/>
      <c r="E445" s="343"/>
    </row>
    <row r="446" spans="1:5">
      <c r="A446" s="346">
        <v>69</v>
      </c>
      <c r="B446" s="347">
        <v>6100244</v>
      </c>
      <c r="C446" s="348" t="s">
        <v>448</v>
      </c>
      <c r="D446" s="343"/>
      <c r="E446" s="343"/>
    </row>
    <row r="447" spans="1:5">
      <c r="A447" s="343"/>
      <c r="B447" s="347"/>
      <c r="C447" s="348" t="s">
        <v>449</v>
      </c>
      <c r="D447" s="343"/>
      <c r="E447" s="343"/>
    </row>
    <row r="448" spans="1:5">
      <c r="A448" s="343"/>
      <c r="B448" s="347"/>
      <c r="C448" s="348" t="s">
        <v>450</v>
      </c>
      <c r="D448" s="343"/>
      <c r="E448" s="343"/>
    </row>
    <row r="449" spans="1:5">
      <c r="A449" s="343"/>
      <c r="B449" s="347"/>
      <c r="C449" s="348" t="s">
        <v>451</v>
      </c>
      <c r="D449" s="343"/>
      <c r="E449" s="343"/>
    </row>
    <row r="450" spans="1:5">
      <c r="A450" s="343"/>
      <c r="B450" s="347"/>
      <c r="C450" s="348" t="s">
        <v>452</v>
      </c>
      <c r="D450" s="343"/>
      <c r="E450" s="343"/>
    </row>
    <row r="451" spans="1:5">
      <c r="A451" s="343"/>
      <c r="B451" s="367"/>
      <c r="C451" s="368"/>
      <c r="D451" s="343"/>
      <c r="E451" s="343"/>
    </row>
    <row r="452" spans="1:5">
      <c r="A452" s="346">
        <v>70</v>
      </c>
      <c r="B452" s="347">
        <v>6200088</v>
      </c>
      <c r="C452" s="348" t="s">
        <v>453</v>
      </c>
      <c r="D452" s="343"/>
      <c r="E452" s="343"/>
    </row>
    <row r="453" spans="1:5">
      <c r="A453" s="343"/>
      <c r="B453" s="347"/>
      <c r="C453" s="348" t="s">
        <v>454</v>
      </c>
      <c r="D453" s="343"/>
      <c r="E453" s="343"/>
    </row>
    <row r="454" spans="1:5">
      <c r="A454" s="343"/>
      <c r="B454" s="347"/>
      <c r="C454" s="348" t="s">
        <v>455</v>
      </c>
      <c r="D454" s="343"/>
      <c r="E454" s="343"/>
    </row>
    <row r="455" spans="1:5">
      <c r="A455" s="343"/>
      <c r="B455" s="347"/>
      <c r="C455" s="348" t="s">
        <v>456</v>
      </c>
      <c r="D455" s="343"/>
      <c r="E455" s="343"/>
    </row>
    <row r="456" spans="1:5">
      <c r="A456" s="343"/>
      <c r="B456" s="347"/>
      <c r="C456" s="348" t="s">
        <v>452</v>
      </c>
      <c r="D456" s="343"/>
      <c r="E456" s="343"/>
    </row>
    <row r="457" spans="1:5">
      <c r="A457" s="343"/>
      <c r="B457" s="367"/>
      <c r="C457" s="368"/>
      <c r="D457" s="343"/>
      <c r="E457" s="343"/>
    </row>
    <row r="458" spans="1:5">
      <c r="A458" s="346">
        <f>A452+1</f>
        <v>71</v>
      </c>
      <c r="B458" s="347">
        <v>5103614</v>
      </c>
      <c r="C458" s="348" t="s">
        <v>457</v>
      </c>
      <c r="D458" s="343"/>
      <c r="E458" s="343"/>
    </row>
    <row r="459" spans="1:5">
      <c r="A459" s="343"/>
      <c r="B459" s="347"/>
      <c r="C459" s="348" t="s">
        <v>458</v>
      </c>
      <c r="D459" s="343"/>
      <c r="E459" s="343"/>
    </row>
    <row r="460" spans="1:5">
      <c r="A460" s="343"/>
      <c r="B460" s="347"/>
      <c r="C460" s="348" t="s">
        <v>459</v>
      </c>
      <c r="D460" s="343"/>
      <c r="E460" s="343"/>
    </row>
    <row r="461" spans="1:5">
      <c r="A461" s="343"/>
      <c r="B461" s="347"/>
      <c r="C461" s="348" t="s">
        <v>460</v>
      </c>
      <c r="D461" s="343"/>
      <c r="E461" s="343"/>
    </row>
    <row r="462" spans="1:5">
      <c r="A462" s="343"/>
      <c r="B462" s="347"/>
      <c r="C462" s="348" t="s">
        <v>461</v>
      </c>
      <c r="D462" s="343"/>
      <c r="E462" s="343"/>
    </row>
    <row r="463" spans="1:5">
      <c r="A463" s="343"/>
      <c r="B463" s="367"/>
      <c r="C463" s="368"/>
      <c r="D463" s="343"/>
      <c r="E463" s="343"/>
    </row>
    <row r="464" spans="1:5">
      <c r="A464" s="346">
        <f>A458+1</f>
        <v>72</v>
      </c>
      <c r="B464" s="347">
        <v>5117267</v>
      </c>
      <c r="C464" s="348" t="s">
        <v>462</v>
      </c>
      <c r="D464" s="343"/>
      <c r="E464" s="343"/>
    </row>
    <row r="465" spans="1:5">
      <c r="A465" s="346"/>
      <c r="B465" s="347"/>
      <c r="C465" s="348" t="s">
        <v>463</v>
      </c>
      <c r="D465" s="343"/>
      <c r="E465" s="343"/>
    </row>
    <row r="466" spans="1:5">
      <c r="A466" s="346"/>
      <c r="B466" s="347"/>
      <c r="C466" s="348" t="s">
        <v>464</v>
      </c>
      <c r="D466" s="343"/>
      <c r="E466" s="343"/>
    </row>
    <row r="467" spans="1:5">
      <c r="A467" s="343"/>
      <c r="B467" s="347"/>
      <c r="C467" s="348" t="s">
        <v>465</v>
      </c>
      <c r="D467" s="343"/>
      <c r="E467" s="343"/>
    </row>
    <row r="468" spans="1:5">
      <c r="A468" s="343"/>
      <c r="B468" s="347"/>
      <c r="C468" s="348" t="s">
        <v>466</v>
      </c>
      <c r="D468" s="343"/>
      <c r="E468" s="343"/>
    </row>
    <row r="469" spans="1:5">
      <c r="A469" s="343"/>
      <c r="B469" s="347"/>
      <c r="C469" s="348">
        <v>500004</v>
      </c>
      <c r="D469" s="343"/>
      <c r="E469" s="343"/>
    </row>
    <row r="470" spans="1:5">
      <c r="A470" s="343"/>
      <c r="B470" s="367"/>
      <c r="C470" s="368"/>
      <c r="D470" s="343"/>
      <c r="E470" s="343"/>
    </row>
    <row r="471" spans="1:5">
      <c r="A471" s="346">
        <f>A464+1</f>
        <v>73</v>
      </c>
      <c r="B471" s="347">
        <v>5117268</v>
      </c>
      <c r="C471" s="348" t="s">
        <v>467</v>
      </c>
      <c r="D471" s="343"/>
      <c r="E471" s="343"/>
    </row>
    <row r="472" spans="1:5">
      <c r="A472" s="343"/>
      <c r="B472" s="347"/>
      <c r="C472" s="348" t="s">
        <v>468</v>
      </c>
      <c r="D472" s="343"/>
      <c r="E472" s="343"/>
    </row>
    <row r="473" spans="1:5">
      <c r="A473" s="343"/>
      <c r="B473" s="347"/>
      <c r="C473" s="348" t="s">
        <v>469</v>
      </c>
      <c r="D473" s="343"/>
      <c r="E473" s="343"/>
    </row>
    <row r="474" spans="1:5">
      <c r="A474" s="343"/>
      <c r="B474" s="347"/>
      <c r="C474" s="348" t="s">
        <v>122</v>
      </c>
      <c r="D474" s="343"/>
      <c r="E474" s="343"/>
    </row>
    <row r="475" spans="1:5">
      <c r="A475" s="343"/>
      <c r="B475" s="367"/>
      <c r="C475" s="368"/>
      <c r="D475" s="343"/>
      <c r="E475" s="343"/>
    </row>
    <row r="476" spans="1:5">
      <c r="A476" s="346">
        <v>74</v>
      </c>
      <c r="B476" s="347">
        <v>5300037</v>
      </c>
      <c r="C476" s="348" t="s">
        <v>11</v>
      </c>
      <c r="D476" s="343"/>
      <c r="E476" s="343"/>
    </row>
    <row r="477" spans="1:5">
      <c r="A477" s="343"/>
      <c r="B477" s="347"/>
      <c r="C477" s="348" t="s">
        <v>124</v>
      </c>
      <c r="D477" s="343"/>
      <c r="E477" s="343"/>
    </row>
    <row r="478" spans="1:5">
      <c r="A478" s="343"/>
      <c r="B478" s="347"/>
      <c r="C478" s="348" t="s">
        <v>125</v>
      </c>
      <c r="D478" s="343"/>
      <c r="E478" s="343"/>
    </row>
    <row r="479" spans="1:5">
      <c r="A479" s="343"/>
      <c r="B479" s="347"/>
      <c r="C479" s="348" t="s">
        <v>126</v>
      </c>
      <c r="D479" s="343"/>
      <c r="E479" s="343"/>
    </row>
    <row r="480" spans="1:5">
      <c r="A480" s="343"/>
      <c r="B480" s="347"/>
      <c r="C480" s="348" t="s">
        <v>127</v>
      </c>
      <c r="D480" s="343"/>
      <c r="E480" s="343"/>
    </row>
    <row r="481" spans="1:5">
      <c r="A481" s="343"/>
      <c r="B481" s="347"/>
      <c r="C481" s="348" t="s">
        <v>128</v>
      </c>
      <c r="D481" s="343"/>
      <c r="E481" s="343"/>
    </row>
    <row r="482" spans="1:5">
      <c r="B482" s="367"/>
      <c r="C482" s="368"/>
    </row>
    <row r="483" spans="1:5">
      <c r="A483" s="346">
        <f>A476+1</f>
        <v>75</v>
      </c>
      <c r="B483" s="347">
        <v>5114262</v>
      </c>
      <c r="C483" s="348" t="s">
        <v>470</v>
      </c>
    </row>
    <row r="484" spans="1:5">
      <c r="B484" s="347"/>
      <c r="C484" s="348" t="s">
        <v>471</v>
      </c>
    </row>
    <row r="485" spans="1:5">
      <c r="B485" s="347"/>
      <c r="C485" s="348" t="s">
        <v>472</v>
      </c>
    </row>
    <row r="486" spans="1:5">
      <c r="B486" s="347"/>
      <c r="C486" s="348" t="s">
        <v>128</v>
      </c>
    </row>
    <row r="487" spans="1:5">
      <c r="B487" s="347"/>
      <c r="C487" s="348" t="s">
        <v>122</v>
      </c>
    </row>
    <row r="488" spans="1:5">
      <c r="B488" s="367"/>
      <c r="C488" s="368"/>
    </row>
    <row r="489" spans="1:5">
      <c r="A489" s="346">
        <f>A483+1</f>
        <v>76</v>
      </c>
      <c r="B489" s="347">
        <v>6100229</v>
      </c>
      <c r="C489" s="348" t="s">
        <v>473</v>
      </c>
    </row>
    <row r="490" spans="1:5">
      <c r="B490" s="347"/>
      <c r="C490" s="348" t="s">
        <v>474</v>
      </c>
    </row>
    <row r="491" spans="1:5">
      <c r="B491" s="347"/>
      <c r="C491" s="348" t="s">
        <v>475</v>
      </c>
    </row>
    <row r="492" spans="1:5">
      <c r="B492" s="347"/>
      <c r="C492" s="348" t="s">
        <v>476</v>
      </c>
    </row>
    <row r="493" spans="1:5">
      <c r="B493" s="347"/>
      <c r="C493" s="348" t="s">
        <v>477</v>
      </c>
    </row>
    <row r="494" spans="1:5">
      <c r="B494" s="367"/>
      <c r="C494" s="368"/>
    </row>
    <row r="495" spans="1:5">
      <c r="A495" s="346">
        <f>A489+1</f>
        <v>77</v>
      </c>
      <c r="B495" s="347">
        <v>5107265</v>
      </c>
      <c r="C495" s="348" t="s">
        <v>478</v>
      </c>
    </row>
    <row r="496" spans="1:5">
      <c r="B496" s="347"/>
      <c r="C496" s="348" t="s">
        <v>479</v>
      </c>
    </row>
    <row r="497" spans="1:3">
      <c r="B497" s="347"/>
      <c r="C497" s="348" t="s">
        <v>480</v>
      </c>
    </row>
    <row r="498" spans="1:3">
      <c r="B498" s="347"/>
      <c r="C498" s="348" t="s">
        <v>481</v>
      </c>
    </row>
    <row r="499" spans="1:3">
      <c r="B499" s="347"/>
      <c r="C499" s="348" t="s">
        <v>482</v>
      </c>
    </row>
    <row r="500" spans="1:3">
      <c r="B500" s="347"/>
      <c r="C500" s="348" t="s">
        <v>122</v>
      </c>
    </row>
    <row r="501" spans="1:3">
      <c r="B501" s="367"/>
      <c r="C501" s="368"/>
    </row>
    <row r="502" spans="1:3">
      <c r="A502" s="346">
        <v>78</v>
      </c>
      <c r="B502" s="347">
        <v>6100299</v>
      </c>
      <c r="C502" s="348" t="s">
        <v>483</v>
      </c>
    </row>
    <row r="503" spans="1:3">
      <c r="B503" s="347"/>
      <c r="C503" s="348" t="s">
        <v>484</v>
      </c>
    </row>
    <row r="504" spans="1:3">
      <c r="B504" s="347"/>
      <c r="C504" s="348" t="s">
        <v>485</v>
      </c>
    </row>
    <row r="505" spans="1:3">
      <c r="B505" s="347"/>
      <c r="C505" s="348" t="s">
        <v>486</v>
      </c>
    </row>
    <row r="506" spans="1:3">
      <c r="B506" s="347"/>
      <c r="C506" s="348" t="s">
        <v>487</v>
      </c>
    </row>
    <row r="507" spans="1:3">
      <c r="B507" s="367"/>
      <c r="C507" s="368"/>
    </row>
    <row r="508" spans="1:3">
      <c r="A508" s="346">
        <v>79</v>
      </c>
      <c r="B508" s="347">
        <v>6200097</v>
      </c>
      <c r="C508" s="348" t="s">
        <v>488</v>
      </c>
    </row>
    <row r="509" spans="1:3">
      <c r="B509" s="347"/>
      <c r="C509" s="348" t="s">
        <v>489</v>
      </c>
    </row>
    <row r="510" spans="1:3">
      <c r="B510" s="347"/>
      <c r="C510" s="348" t="s">
        <v>490</v>
      </c>
    </row>
    <row r="511" spans="1:3">
      <c r="B511" s="347"/>
      <c r="C511" s="348" t="s">
        <v>491</v>
      </c>
    </row>
    <row r="512" spans="1:3">
      <c r="B512" s="367"/>
      <c r="C512" s="368"/>
    </row>
    <row r="513" spans="2:3">
      <c r="B513" s="347">
        <v>6100280</v>
      </c>
      <c r="C513" s="348" t="s">
        <v>492</v>
      </c>
    </row>
    <row r="514" spans="2:3">
      <c r="B514" s="347"/>
      <c r="C514" s="348" t="s">
        <v>493</v>
      </c>
    </row>
    <row r="515" spans="2:3">
      <c r="B515" s="347"/>
      <c r="C515" s="348" t="s">
        <v>494</v>
      </c>
    </row>
    <row r="516" spans="2:3">
      <c r="B516" s="347"/>
      <c r="C516" s="348" t="s">
        <v>495</v>
      </c>
    </row>
    <row r="517" spans="2:3">
      <c r="B517" s="347"/>
      <c r="C517" s="348" t="s">
        <v>496</v>
      </c>
    </row>
    <row r="518" spans="2:3">
      <c r="B518" s="367"/>
      <c r="C518" s="368"/>
    </row>
    <row r="519" spans="2:3">
      <c r="B519" s="347">
        <v>6200075</v>
      </c>
      <c r="C519" s="348" t="s">
        <v>497</v>
      </c>
    </row>
    <row r="520" spans="2:3">
      <c r="B520" s="347"/>
      <c r="C520" s="348" t="s">
        <v>498</v>
      </c>
    </row>
    <row r="521" spans="2:3">
      <c r="B521" s="347"/>
      <c r="C521" s="348" t="s">
        <v>499</v>
      </c>
    </row>
    <row r="522" spans="2:3">
      <c r="B522" s="347"/>
      <c r="C522" s="348" t="s">
        <v>500</v>
      </c>
    </row>
    <row r="523" spans="2:3">
      <c r="B523" s="367"/>
      <c r="C523" s="368"/>
    </row>
    <row r="524" spans="2:3">
      <c r="B524" s="347">
        <v>5101610</v>
      </c>
      <c r="C524" s="348" t="s">
        <v>501</v>
      </c>
    </row>
    <row r="525" spans="2:3">
      <c r="B525" s="347"/>
      <c r="C525" s="348" t="s">
        <v>502</v>
      </c>
    </row>
    <row r="526" spans="2:3">
      <c r="B526" s="347"/>
      <c r="C526" s="348" t="s">
        <v>503</v>
      </c>
    </row>
    <row r="527" spans="2:3">
      <c r="B527" s="347"/>
      <c r="C527" s="348" t="s">
        <v>504</v>
      </c>
    </row>
    <row r="528" spans="2:3">
      <c r="B528" s="347"/>
      <c r="C528" s="348" t="s">
        <v>505</v>
      </c>
    </row>
    <row r="529" spans="2:3">
      <c r="B529" s="347"/>
      <c r="C529" s="348" t="s">
        <v>122</v>
      </c>
    </row>
    <row r="530" spans="2:3">
      <c r="B530" s="367"/>
      <c r="C530" s="368"/>
    </row>
    <row r="531" spans="2:3">
      <c r="B531" s="347">
        <v>5104481</v>
      </c>
      <c r="C531" s="348" t="s">
        <v>506</v>
      </c>
    </row>
    <row r="532" spans="2:3">
      <c r="B532" s="347"/>
      <c r="C532" s="348" t="s">
        <v>507</v>
      </c>
    </row>
    <row r="533" spans="2:3">
      <c r="B533" s="347"/>
      <c r="C533" s="348" t="s">
        <v>508</v>
      </c>
    </row>
    <row r="534" spans="2:3">
      <c r="B534" s="347"/>
      <c r="C534" s="348" t="s">
        <v>509</v>
      </c>
    </row>
    <row r="535" spans="2:3">
      <c r="B535" s="347"/>
      <c r="C535" s="348" t="s">
        <v>510</v>
      </c>
    </row>
    <row r="536" spans="2:3">
      <c r="B536" s="347"/>
      <c r="C536" s="348" t="s">
        <v>314</v>
      </c>
    </row>
    <row r="537" spans="2:3">
      <c r="B537" s="347"/>
      <c r="C537" s="348" t="s">
        <v>122</v>
      </c>
    </row>
    <row r="538" spans="2:3">
      <c r="B538" s="367"/>
      <c r="C538" s="368"/>
    </row>
    <row r="539" spans="2:3">
      <c r="B539" s="347">
        <v>6200098</v>
      </c>
      <c r="C539" s="348" t="s">
        <v>511</v>
      </c>
    </row>
    <row r="540" spans="2:3">
      <c r="B540" s="347"/>
      <c r="C540" s="348" t="s">
        <v>512</v>
      </c>
    </row>
    <row r="541" spans="2:3">
      <c r="B541" s="347"/>
      <c r="C541" s="348" t="s">
        <v>513</v>
      </c>
    </row>
    <row r="542" spans="2:3">
      <c r="B542" s="347"/>
      <c r="C542" s="348" t="s">
        <v>514</v>
      </c>
    </row>
    <row r="543" spans="2:3">
      <c r="B543" s="347"/>
      <c r="C543" s="348" t="s">
        <v>515</v>
      </c>
    </row>
    <row r="544" spans="2:3">
      <c r="B544" s="367"/>
      <c r="C544" s="368"/>
    </row>
    <row r="545" spans="2:3">
      <c r="B545" s="363">
        <v>5117607</v>
      </c>
      <c r="C545" s="364" t="s">
        <v>516</v>
      </c>
    </row>
    <row r="546" spans="2:3">
      <c r="B546" s="363"/>
      <c r="C546" s="364" t="s">
        <v>517</v>
      </c>
    </row>
    <row r="547" spans="2:3">
      <c r="B547" s="363"/>
      <c r="C547" s="364" t="s">
        <v>518</v>
      </c>
    </row>
    <row r="548" spans="2:3">
      <c r="B548" s="363"/>
      <c r="C548" s="364" t="s">
        <v>519</v>
      </c>
    </row>
    <row r="549" spans="2:3">
      <c r="B549" s="363"/>
      <c r="C549" s="364" t="s">
        <v>140</v>
      </c>
    </row>
    <row r="550" spans="2:3">
      <c r="B550" s="363"/>
      <c r="C550" s="364">
        <v>380054</v>
      </c>
    </row>
    <row r="551" spans="2:3">
      <c r="B551" s="367"/>
      <c r="C551" s="368"/>
    </row>
    <row r="552" spans="2:3">
      <c r="B552" s="347">
        <v>5111393</v>
      </c>
      <c r="C552" s="348" t="s">
        <v>520</v>
      </c>
    </row>
    <row r="553" spans="2:3">
      <c r="B553" s="347"/>
      <c r="C553" s="348" t="s">
        <v>521</v>
      </c>
    </row>
    <row r="554" spans="2:3">
      <c r="B554" s="347"/>
      <c r="C554" s="348" t="s">
        <v>522</v>
      </c>
    </row>
    <row r="555" spans="2:3">
      <c r="B555" s="347"/>
      <c r="C555" s="348" t="s">
        <v>523</v>
      </c>
    </row>
    <row r="556" spans="2:3">
      <c r="B556" s="347"/>
      <c r="C556" s="348" t="s">
        <v>524</v>
      </c>
    </row>
    <row r="557" spans="2:3">
      <c r="B557" s="347"/>
      <c r="C557" s="348" t="s">
        <v>122</v>
      </c>
    </row>
    <row r="558" spans="2:3">
      <c r="B558" s="367"/>
      <c r="C558" s="368"/>
    </row>
    <row r="559" spans="2:3">
      <c r="B559" s="363">
        <v>6100024</v>
      </c>
      <c r="C559" s="532" t="s">
        <v>525</v>
      </c>
    </row>
    <row r="560" spans="2:3">
      <c r="B560" s="363"/>
      <c r="C560" s="532" t="s">
        <v>526</v>
      </c>
    </row>
    <row r="561" spans="2:3">
      <c r="B561" s="371"/>
      <c r="C561" s="532" t="s">
        <v>527</v>
      </c>
    </row>
    <row r="562" spans="2:3">
      <c r="B562" s="371"/>
      <c r="C562" s="532" t="s">
        <v>528</v>
      </c>
    </row>
    <row r="563" spans="2:3">
      <c r="B563" s="371"/>
      <c r="C563" s="532">
        <v>999999</v>
      </c>
    </row>
    <row r="564" spans="2:3">
      <c r="B564" s="367"/>
      <c r="C564" s="368"/>
    </row>
    <row r="565" spans="2:3">
      <c r="B565" s="338">
        <v>6100300</v>
      </c>
      <c r="C565" s="521" t="s">
        <v>529</v>
      </c>
    </row>
    <row r="566" spans="2:3">
      <c r="C566" s="521" t="s">
        <v>530</v>
      </c>
    </row>
    <row r="567" spans="2:3">
      <c r="C567" s="521" t="s">
        <v>531</v>
      </c>
    </row>
    <row r="568" spans="2:3">
      <c r="C568" s="521" t="s">
        <v>532</v>
      </c>
    </row>
    <row r="569" spans="2:3">
      <c r="C569" s="521" t="s">
        <v>178</v>
      </c>
    </row>
    <row r="570" spans="2:3">
      <c r="C570" s="521" t="s">
        <v>179</v>
      </c>
    </row>
    <row r="572" spans="2:3">
      <c r="C572" s="521" t="s">
        <v>415</v>
      </c>
    </row>
  </sheetData>
  <autoFilter ref="A1:C3"/>
  <mergeCells count="1">
    <mergeCell ref="G1:G2"/>
  </mergeCells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P84"/>
  <sheetViews>
    <sheetView showGridLines="0" tabSelected="1" topLeftCell="A2" zoomScale="55" zoomScaleNormal="55" workbookViewId="0"/>
  </sheetViews>
  <sheetFormatPr defaultColWidth="9.140625" defaultRowHeight="44.25"/>
  <cols>
    <col min="1" max="1" width="10.140625" style="196" customWidth="1"/>
    <col min="2" max="2" width="197.140625" style="475" customWidth="1"/>
    <col min="3" max="3" width="78.42578125" style="476" customWidth="1"/>
    <col min="4" max="4" width="74" style="476" customWidth="1"/>
    <col min="5" max="5" width="84.85546875" style="476" customWidth="1"/>
    <col min="6" max="6" width="97.42578125" style="476" customWidth="1"/>
    <col min="7" max="7" width="43.7109375" style="196" customWidth="1"/>
    <col min="8" max="8" width="32.85546875" style="196" customWidth="1"/>
    <col min="9" max="9" width="22.85546875" style="196" customWidth="1"/>
    <col min="10" max="10" width="35.28515625" style="196" customWidth="1"/>
    <col min="11" max="15" width="9.140625" style="196"/>
    <col min="16" max="16" width="46.28515625" style="477" customWidth="1"/>
    <col min="17" max="16384" width="9.140625" style="196"/>
  </cols>
  <sheetData>
    <row r="1" spans="1:16" ht="48.75">
      <c r="A1" s="266" t="s">
        <v>112</v>
      </c>
      <c r="B1" s="478" t="s">
        <v>533</v>
      </c>
      <c r="C1" s="209" t="s">
        <v>534</v>
      </c>
      <c r="D1" s="209" t="s">
        <v>535</v>
      </c>
      <c r="E1" s="479" t="s">
        <v>536</v>
      </c>
      <c r="F1" s="479" t="s">
        <v>537</v>
      </c>
      <c r="G1" s="480"/>
      <c r="H1" s="481" t="s">
        <v>15</v>
      </c>
      <c r="K1" s="196" t="s">
        <v>538</v>
      </c>
      <c r="P1" s="514"/>
    </row>
    <row r="2" spans="1:16" ht="48.75">
      <c r="A2" s="482">
        <v>1</v>
      </c>
      <c r="B2" s="483" t="s">
        <v>539</v>
      </c>
      <c r="C2" s="484" t="s">
        <v>540</v>
      </c>
      <c r="D2" s="485" t="s">
        <v>541</v>
      </c>
      <c r="E2" s="479" t="s">
        <v>542</v>
      </c>
      <c r="F2" s="486"/>
      <c r="G2" s="198"/>
      <c r="H2" s="487" t="s">
        <v>543</v>
      </c>
    </row>
    <row r="3" spans="1:16" ht="45">
      <c r="A3" s="482">
        <v>2</v>
      </c>
      <c r="B3" s="483" t="s">
        <v>544</v>
      </c>
      <c r="C3" s="484" t="s">
        <v>545</v>
      </c>
      <c r="D3" s="488" t="s">
        <v>546</v>
      </c>
      <c r="E3" s="489" t="s">
        <v>547</v>
      </c>
      <c r="F3" s="490" t="s">
        <v>548</v>
      </c>
      <c r="G3" s="198"/>
      <c r="H3" s="487" t="s">
        <v>549</v>
      </c>
      <c r="P3" s="477" t="s">
        <v>550</v>
      </c>
    </row>
    <row r="4" spans="1:16" ht="45.75">
      <c r="A4" s="482">
        <v>3</v>
      </c>
      <c r="B4" s="483" t="s">
        <v>551</v>
      </c>
      <c r="C4" s="488" t="s">
        <v>552</v>
      </c>
      <c r="D4" s="491" t="s">
        <v>548</v>
      </c>
      <c r="E4" s="488" t="s">
        <v>553</v>
      </c>
      <c r="F4" s="486"/>
      <c r="G4" s="198"/>
      <c r="H4" s="198"/>
      <c r="I4" s="515" t="s">
        <v>554</v>
      </c>
      <c r="J4" s="516" t="s">
        <v>555</v>
      </c>
    </row>
    <row r="5" spans="1:16" ht="45">
      <c r="A5" s="482">
        <v>4</v>
      </c>
      <c r="B5" s="483" t="s">
        <v>556</v>
      </c>
      <c r="C5" s="488" t="s">
        <v>557</v>
      </c>
      <c r="D5" s="488" t="s">
        <v>558</v>
      </c>
      <c r="E5" s="488" t="s">
        <v>559</v>
      </c>
      <c r="F5" s="492" t="s">
        <v>560</v>
      </c>
      <c r="G5" s="198"/>
      <c r="O5" s="477"/>
      <c r="P5" s="196"/>
    </row>
    <row r="6" spans="1:16" ht="45.75">
      <c r="A6" s="482">
        <v>5</v>
      </c>
      <c r="B6" s="483" t="s">
        <v>561</v>
      </c>
      <c r="C6" s="488" t="s">
        <v>562</v>
      </c>
      <c r="D6" s="491" t="s">
        <v>563</v>
      </c>
      <c r="E6" s="486"/>
      <c r="G6" s="493" t="s">
        <v>564</v>
      </c>
      <c r="H6" s="198"/>
      <c r="I6" s="196" t="s">
        <v>565</v>
      </c>
      <c r="J6" s="196" t="s">
        <v>566</v>
      </c>
    </row>
    <row r="7" spans="1:16" ht="45">
      <c r="A7" s="482">
        <v>6</v>
      </c>
      <c r="B7" s="483" t="s">
        <v>567</v>
      </c>
      <c r="C7" s="488" t="s">
        <v>568</v>
      </c>
      <c r="D7" s="488" t="s">
        <v>569</v>
      </c>
      <c r="E7" s="488" t="s">
        <v>570</v>
      </c>
      <c r="F7" s="492" t="s">
        <v>571</v>
      </c>
      <c r="G7" s="494"/>
      <c r="H7" s="198"/>
    </row>
    <row r="8" spans="1:16" ht="45.75">
      <c r="A8" s="482">
        <v>7</v>
      </c>
      <c r="B8" s="483" t="s">
        <v>572</v>
      </c>
      <c r="C8" s="488" t="s">
        <v>573</v>
      </c>
      <c r="D8" s="491" t="s">
        <v>574</v>
      </c>
      <c r="E8" s="486"/>
      <c r="F8" s="486"/>
      <c r="G8" s="198"/>
      <c r="H8" s="198"/>
    </row>
    <row r="9" spans="1:16" ht="45">
      <c r="A9" s="482">
        <v>8</v>
      </c>
      <c r="B9" s="483" t="s">
        <v>575</v>
      </c>
      <c r="C9" s="488" t="s">
        <v>576</v>
      </c>
      <c r="D9" s="488" t="s">
        <v>577</v>
      </c>
      <c r="E9" s="486"/>
      <c r="F9" s="486"/>
      <c r="G9" s="198"/>
      <c r="H9" s="198" t="s">
        <v>578</v>
      </c>
    </row>
    <row r="10" spans="1:16" ht="45">
      <c r="A10" s="482">
        <v>9</v>
      </c>
      <c r="B10" s="483" t="s">
        <v>579</v>
      </c>
      <c r="C10" s="488" t="s">
        <v>580</v>
      </c>
      <c r="D10" s="488" t="s">
        <v>581</v>
      </c>
      <c r="E10" s="486">
        <v>149170</v>
      </c>
      <c r="F10" s="488" t="s">
        <v>582</v>
      </c>
      <c r="G10" s="495">
        <v>149218</v>
      </c>
      <c r="H10" s="198" t="s">
        <v>578</v>
      </c>
    </row>
    <row r="11" spans="1:16" ht="45">
      <c r="A11" s="482">
        <v>10</v>
      </c>
      <c r="B11" s="483" t="s">
        <v>583</v>
      </c>
      <c r="C11" s="488" t="s">
        <v>584</v>
      </c>
      <c r="D11" s="488" t="s">
        <v>585</v>
      </c>
      <c r="F11" s="486"/>
      <c r="G11" s="198"/>
      <c r="H11" s="198"/>
    </row>
    <row r="12" spans="1:16" ht="45">
      <c r="A12" s="482">
        <v>11</v>
      </c>
      <c r="B12" s="483" t="s">
        <v>586</v>
      </c>
      <c r="C12" s="488" t="s">
        <v>587</v>
      </c>
      <c r="D12" s="488" t="s">
        <v>588</v>
      </c>
      <c r="F12" s="486"/>
      <c r="G12" s="198"/>
      <c r="H12" s="198" t="s">
        <v>578</v>
      </c>
    </row>
    <row r="13" spans="1:16" ht="45">
      <c r="A13" s="482">
        <v>12</v>
      </c>
      <c r="B13" s="483" t="s">
        <v>589</v>
      </c>
      <c r="C13" s="488" t="s">
        <v>590</v>
      </c>
      <c r="D13" s="488" t="s">
        <v>591</v>
      </c>
      <c r="E13" s="488" t="s">
        <v>592</v>
      </c>
      <c r="F13" s="486"/>
      <c r="G13" s="198"/>
      <c r="H13" s="198" t="s">
        <v>578</v>
      </c>
    </row>
    <row r="14" spans="1:16" ht="45">
      <c r="A14" s="482">
        <v>13</v>
      </c>
      <c r="B14" s="483" t="s">
        <v>593</v>
      </c>
      <c r="C14" s="488" t="s">
        <v>594</v>
      </c>
      <c r="D14" s="488"/>
      <c r="F14" s="486"/>
      <c r="G14" s="198"/>
      <c r="H14" s="198"/>
    </row>
    <row r="15" spans="1:16" ht="45">
      <c r="A15" s="482">
        <v>14</v>
      </c>
      <c r="B15" s="483" t="s">
        <v>595</v>
      </c>
      <c r="C15" s="488" t="s">
        <v>596</v>
      </c>
      <c r="D15" s="488"/>
      <c r="F15" s="486"/>
      <c r="G15" s="198"/>
      <c r="H15" s="198"/>
    </row>
    <row r="16" spans="1:16" ht="45">
      <c r="A16" s="482"/>
      <c r="B16" s="483" t="s">
        <v>597</v>
      </c>
      <c r="C16" s="489" t="s">
        <v>598</v>
      </c>
      <c r="D16" s="488" t="s">
        <v>599</v>
      </c>
      <c r="F16" s="486"/>
      <c r="G16" s="198"/>
      <c r="H16" s="198"/>
    </row>
    <row r="17" spans="1:8" ht="45">
      <c r="A17" s="482">
        <v>15</v>
      </c>
      <c r="B17" s="483" t="s">
        <v>600</v>
      </c>
      <c r="C17" s="488" t="s">
        <v>601</v>
      </c>
      <c r="D17" s="488"/>
      <c r="F17" s="486"/>
      <c r="G17" s="198"/>
      <c r="H17" s="198"/>
    </row>
    <row r="18" spans="1:8" ht="45">
      <c r="A18" s="482">
        <v>16</v>
      </c>
      <c r="B18" s="483" t="s">
        <v>602</v>
      </c>
      <c r="C18" s="488" t="s">
        <v>603</v>
      </c>
      <c r="D18" s="488" t="s">
        <v>604</v>
      </c>
      <c r="F18" s="486"/>
      <c r="G18" s="198"/>
      <c r="H18" s="198"/>
    </row>
    <row r="19" spans="1:8" ht="45">
      <c r="A19" s="482"/>
      <c r="B19" s="483" t="s">
        <v>605</v>
      </c>
      <c r="C19" s="488" t="s">
        <v>606</v>
      </c>
      <c r="D19" s="496" t="s">
        <v>607</v>
      </c>
      <c r="F19" s="486"/>
      <c r="G19" s="198"/>
      <c r="H19" s="198"/>
    </row>
    <row r="20" spans="1:8" ht="45">
      <c r="A20" s="482"/>
      <c r="B20" s="483" t="s">
        <v>608</v>
      </c>
      <c r="C20" s="488" t="s">
        <v>609</v>
      </c>
      <c r="D20" s="488" t="s">
        <v>610</v>
      </c>
      <c r="F20" s="486"/>
      <c r="G20" s="198"/>
      <c r="H20" s="198"/>
    </row>
    <row r="21" spans="1:8" ht="45">
      <c r="A21" s="482"/>
      <c r="B21" s="483" t="s">
        <v>611</v>
      </c>
      <c r="C21" s="488" t="s">
        <v>612</v>
      </c>
      <c r="D21" s="488" t="s">
        <v>613</v>
      </c>
      <c r="E21" s="488">
        <v>13792</v>
      </c>
      <c r="F21" s="486"/>
      <c r="G21" s="198"/>
      <c r="H21" s="198"/>
    </row>
    <row r="22" spans="1:8" ht="45">
      <c r="A22" s="482">
        <v>17</v>
      </c>
      <c r="B22" s="497" t="s">
        <v>614</v>
      </c>
      <c r="C22" s="498" t="s">
        <v>615</v>
      </c>
      <c r="D22" s="499"/>
      <c r="E22" s="486"/>
      <c r="F22" s="486"/>
      <c r="G22" s="198"/>
      <c r="H22" s="198"/>
    </row>
    <row r="23" spans="1:8" ht="45">
      <c r="A23" s="482">
        <v>18</v>
      </c>
      <c r="B23" s="497" t="s">
        <v>616</v>
      </c>
      <c r="C23" s="498" t="s">
        <v>617</v>
      </c>
      <c r="D23" s="498" t="s">
        <v>618</v>
      </c>
      <c r="E23" s="486"/>
      <c r="F23" s="486"/>
      <c r="G23" s="198"/>
      <c r="H23" s="198"/>
    </row>
    <row r="24" spans="1:8" ht="45">
      <c r="A24" s="482">
        <v>19</v>
      </c>
      <c r="B24" s="497" t="s">
        <v>619</v>
      </c>
      <c r="C24" s="498" t="s">
        <v>620</v>
      </c>
      <c r="D24" s="499"/>
      <c r="E24" s="486"/>
      <c r="F24" s="486"/>
      <c r="G24" s="198"/>
      <c r="H24" s="198"/>
    </row>
    <row r="25" spans="1:8" ht="45">
      <c r="A25" s="482">
        <v>20</v>
      </c>
      <c r="B25" s="497" t="s">
        <v>621</v>
      </c>
      <c r="C25" s="498" t="s">
        <v>622</v>
      </c>
      <c r="D25" s="498" t="s">
        <v>623</v>
      </c>
      <c r="E25" s="498">
        <v>3754</v>
      </c>
      <c r="F25" s="486"/>
      <c r="G25" s="198"/>
      <c r="H25" s="198"/>
    </row>
    <row r="26" spans="1:8" ht="45">
      <c r="A26" s="482">
        <v>21</v>
      </c>
      <c r="B26" s="497" t="s">
        <v>624</v>
      </c>
      <c r="C26" s="498" t="s">
        <v>625</v>
      </c>
      <c r="D26" s="499"/>
      <c r="E26" s="486"/>
      <c r="F26" s="486"/>
      <c r="G26" s="198"/>
      <c r="H26" s="198"/>
    </row>
    <row r="27" spans="1:8" ht="45">
      <c r="A27" s="482">
        <v>22</v>
      </c>
      <c r="B27" s="497" t="s">
        <v>626</v>
      </c>
      <c r="C27" s="498" t="s">
        <v>627</v>
      </c>
      <c r="D27" s="499"/>
      <c r="E27" s="486"/>
      <c r="F27" s="486"/>
      <c r="G27" s="198"/>
      <c r="H27" s="198"/>
    </row>
    <row r="28" spans="1:8" ht="45">
      <c r="A28" s="482">
        <v>23</v>
      </c>
      <c r="B28" s="497" t="s">
        <v>628</v>
      </c>
      <c r="C28" s="498" t="s">
        <v>629</v>
      </c>
      <c r="D28" s="498" t="s">
        <v>630</v>
      </c>
      <c r="F28" s="486"/>
      <c r="G28" s="198"/>
      <c r="H28" s="198"/>
    </row>
    <row r="29" spans="1:8" ht="45">
      <c r="A29" s="482">
        <v>24</v>
      </c>
      <c r="B29" s="497" t="s">
        <v>631</v>
      </c>
      <c r="C29" s="498" t="s">
        <v>632</v>
      </c>
      <c r="D29" s="498" t="s">
        <v>633</v>
      </c>
      <c r="E29" s="498" t="s">
        <v>634</v>
      </c>
      <c r="F29" s="486"/>
      <c r="G29" s="198"/>
      <c r="H29" s="198"/>
    </row>
    <row r="30" spans="1:8" ht="45">
      <c r="A30" s="482">
        <v>25</v>
      </c>
      <c r="B30" s="497" t="s">
        <v>635</v>
      </c>
      <c r="C30" s="498" t="s">
        <v>636</v>
      </c>
      <c r="D30" s="498" t="s">
        <v>637</v>
      </c>
      <c r="F30" s="486"/>
      <c r="G30" s="198"/>
      <c r="H30" s="198"/>
    </row>
    <row r="31" spans="1:8" ht="45">
      <c r="A31" s="482">
        <v>26</v>
      </c>
      <c r="B31" s="497" t="s">
        <v>638</v>
      </c>
      <c r="C31" s="500" t="s">
        <v>639</v>
      </c>
      <c r="D31" s="485" t="s">
        <v>640</v>
      </c>
      <c r="F31" s="486"/>
      <c r="G31" s="198"/>
      <c r="H31" s="198"/>
    </row>
    <row r="32" spans="1:8" ht="45">
      <c r="A32" s="482">
        <v>27</v>
      </c>
      <c r="B32" s="497" t="s">
        <v>641</v>
      </c>
      <c r="C32" s="498" t="s">
        <v>642</v>
      </c>
      <c r="D32" s="498" t="s">
        <v>640</v>
      </c>
      <c r="F32" s="486"/>
      <c r="G32" s="198"/>
      <c r="H32" s="198"/>
    </row>
    <row r="33" spans="1:8" ht="45">
      <c r="A33" s="482"/>
      <c r="B33" s="497" t="s">
        <v>608</v>
      </c>
      <c r="C33" s="498" t="s">
        <v>609</v>
      </c>
      <c r="D33" s="498" t="s">
        <v>610</v>
      </c>
      <c r="F33" s="486"/>
      <c r="G33" s="198"/>
      <c r="H33" s="198"/>
    </row>
    <row r="34" spans="1:8" ht="45">
      <c r="A34" s="482">
        <v>28</v>
      </c>
      <c r="B34" s="501" t="s">
        <v>643</v>
      </c>
      <c r="C34" s="502" t="s">
        <v>644</v>
      </c>
      <c r="D34" s="490" t="s">
        <v>640</v>
      </c>
      <c r="E34" s="489" t="s">
        <v>645</v>
      </c>
      <c r="F34" s="486"/>
      <c r="G34" s="198"/>
      <c r="H34" s="198"/>
    </row>
    <row r="35" spans="1:8" ht="90">
      <c r="A35" s="482">
        <v>29</v>
      </c>
      <c r="B35" s="501" t="s">
        <v>646</v>
      </c>
      <c r="C35" s="502" t="s">
        <v>647</v>
      </c>
      <c r="D35" s="499"/>
      <c r="E35" s="503"/>
      <c r="F35" s="486"/>
      <c r="G35" s="198"/>
      <c r="H35" s="198"/>
    </row>
    <row r="36" spans="1:8" ht="45">
      <c r="A36" s="482">
        <v>30</v>
      </c>
      <c r="B36" s="501" t="s">
        <v>626</v>
      </c>
      <c r="C36" s="502" t="s">
        <v>627</v>
      </c>
      <c r="E36" s="486"/>
      <c r="F36" s="486"/>
      <c r="G36" s="198"/>
      <c r="H36" s="198"/>
    </row>
    <row r="37" spans="1:8" ht="45">
      <c r="A37" s="482">
        <v>31</v>
      </c>
      <c r="B37" s="501" t="s">
        <v>595</v>
      </c>
      <c r="C37" s="502" t="s">
        <v>596</v>
      </c>
      <c r="D37" s="499"/>
      <c r="E37" s="486"/>
      <c r="F37" s="486"/>
      <c r="G37" s="198"/>
      <c r="H37" s="198"/>
    </row>
    <row r="38" spans="1:8" ht="45">
      <c r="A38" s="482"/>
      <c r="B38" s="501"/>
      <c r="C38" s="502"/>
      <c r="D38" s="499"/>
      <c r="E38" s="486"/>
      <c r="F38" s="486"/>
      <c r="G38" s="198"/>
      <c r="H38" s="198"/>
    </row>
    <row r="39" spans="1:8" ht="45">
      <c r="A39" s="482">
        <v>32</v>
      </c>
      <c r="C39" s="502" t="s">
        <v>598</v>
      </c>
      <c r="F39" s="486"/>
      <c r="G39" s="198"/>
      <c r="H39" s="198"/>
    </row>
    <row r="40" spans="1:8" ht="45">
      <c r="A40" s="482">
        <v>33</v>
      </c>
      <c r="B40" s="504" t="s">
        <v>648</v>
      </c>
      <c r="C40" s="502" t="s">
        <v>540</v>
      </c>
      <c r="D40" s="505" t="s">
        <v>541</v>
      </c>
      <c r="E40" s="486"/>
      <c r="F40" s="486"/>
      <c r="G40" s="198"/>
      <c r="H40" s="198"/>
    </row>
    <row r="41" spans="1:8" ht="45">
      <c r="A41" s="482">
        <v>34</v>
      </c>
      <c r="B41" s="504" t="s">
        <v>649</v>
      </c>
      <c r="C41" s="502" t="s">
        <v>545</v>
      </c>
      <c r="D41" s="505" t="s">
        <v>546</v>
      </c>
      <c r="E41" s="486"/>
      <c r="F41" s="486"/>
      <c r="G41" s="198"/>
      <c r="H41" s="198"/>
    </row>
    <row r="42" spans="1:8" ht="45">
      <c r="A42" s="482">
        <v>35</v>
      </c>
      <c r="B42" s="506" t="s">
        <v>650</v>
      </c>
      <c r="C42" s="507" t="s">
        <v>552</v>
      </c>
      <c r="D42" s="505" t="s">
        <v>554</v>
      </c>
      <c r="E42" s="486"/>
      <c r="F42" s="486"/>
      <c r="G42" s="198"/>
      <c r="H42" s="198"/>
    </row>
    <row r="43" spans="1:8" ht="45">
      <c r="A43" s="482">
        <v>36</v>
      </c>
      <c r="B43" s="504" t="s">
        <v>589</v>
      </c>
      <c r="C43" s="502" t="s">
        <v>590</v>
      </c>
      <c r="D43" s="499"/>
      <c r="E43" s="486"/>
      <c r="F43" s="486"/>
      <c r="G43" s="198"/>
      <c r="H43" s="198"/>
    </row>
    <row r="44" spans="1:8" ht="45">
      <c r="A44" s="482">
        <v>37</v>
      </c>
      <c r="B44" s="504" t="s">
        <v>651</v>
      </c>
      <c r="C44" s="502" t="s">
        <v>652</v>
      </c>
      <c r="D44" s="499"/>
      <c r="E44" s="486"/>
      <c r="F44" s="486"/>
      <c r="G44" s="198"/>
      <c r="H44" s="198"/>
    </row>
    <row r="45" spans="1:8" ht="45">
      <c r="A45" s="482">
        <v>38</v>
      </c>
      <c r="B45" s="508" t="s">
        <v>638</v>
      </c>
      <c r="C45" s="500" t="s">
        <v>639</v>
      </c>
      <c r="D45" s="485" t="s">
        <v>640</v>
      </c>
      <c r="E45" s="499" t="s">
        <v>653</v>
      </c>
      <c r="F45" s="486"/>
      <c r="G45" s="198"/>
      <c r="H45" s="198"/>
    </row>
    <row r="46" spans="1:8" ht="45">
      <c r="A46" s="482">
        <v>39</v>
      </c>
      <c r="B46" s="504" t="s">
        <v>579</v>
      </c>
      <c r="C46" s="502" t="s">
        <v>580</v>
      </c>
      <c r="D46" s="499"/>
      <c r="E46" s="486"/>
      <c r="F46" s="486"/>
      <c r="G46" s="198"/>
      <c r="H46" s="198"/>
    </row>
    <row r="47" spans="1:8" ht="45">
      <c r="A47" s="482">
        <v>40</v>
      </c>
      <c r="B47" s="509" t="s">
        <v>641</v>
      </c>
      <c r="C47" s="502" t="s">
        <v>642</v>
      </c>
      <c r="D47" s="499" t="s">
        <v>640</v>
      </c>
      <c r="E47" s="486"/>
      <c r="F47" s="486"/>
      <c r="G47" s="198"/>
      <c r="H47" s="198"/>
    </row>
    <row r="48" spans="1:8" ht="45">
      <c r="A48" s="482">
        <v>41</v>
      </c>
      <c r="B48" s="504" t="s">
        <v>654</v>
      </c>
      <c r="C48" s="502" t="s">
        <v>655</v>
      </c>
      <c r="D48" s="510"/>
      <c r="E48" s="486"/>
      <c r="F48" s="486"/>
      <c r="G48" s="198"/>
      <c r="H48" s="198"/>
    </row>
    <row r="49" spans="1:8" ht="45">
      <c r="A49" s="482">
        <v>42</v>
      </c>
      <c r="B49" s="504" t="s">
        <v>616</v>
      </c>
      <c r="C49" s="502" t="s">
        <v>617</v>
      </c>
      <c r="D49" s="499" t="s">
        <v>618</v>
      </c>
      <c r="E49" s="486"/>
      <c r="F49" s="486"/>
      <c r="G49" s="198"/>
      <c r="H49" s="198"/>
    </row>
    <row r="50" spans="1:8" ht="45">
      <c r="A50" s="482">
        <v>43</v>
      </c>
      <c r="B50" s="504" t="s">
        <v>656</v>
      </c>
      <c r="C50" s="502" t="s">
        <v>657</v>
      </c>
      <c r="D50" s="499" t="s">
        <v>658</v>
      </c>
      <c r="E50" s="502" t="s">
        <v>659</v>
      </c>
      <c r="F50" s="486"/>
      <c r="G50" s="198"/>
      <c r="H50" s="198"/>
    </row>
    <row r="51" spans="1:8" ht="45">
      <c r="A51" s="482">
        <v>44</v>
      </c>
      <c r="B51" s="504" t="s">
        <v>660</v>
      </c>
      <c r="C51" s="502" t="s">
        <v>661</v>
      </c>
      <c r="D51" s="499" t="s">
        <v>662</v>
      </c>
      <c r="E51" s="502" t="s">
        <v>663</v>
      </c>
      <c r="F51" s="486"/>
      <c r="G51" s="198"/>
      <c r="H51" s="198"/>
    </row>
    <row r="52" spans="1:8" ht="45">
      <c r="A52" s="482">
        <v>45</v>
      </c>
      <c r="B52" s="504" t="s">
        <v>664</v>
      </c>
      <c r="C52" s="502" t="s">
        <v>665</v>
      </c>
      <c r="D52" s="499" t="s">
        <v>666</v>
      </c>
      <c r="E52" s="502"/>
      <c r="F52" s="486"/>
      <c r="G52" s="198"/>
      <c r="H52" s="198"/>
    </row>
    <row r="53" spans="1:8" ht="45">
      <c r="A53" s="482">
        <v>46</v>
      </c>
      <c r="B53" s="511" t="s">
        <v>667</v>
      </c>
      <c r="C53" s="512" t="s">
        <v>668</v>
      </c>
      <c r="D53" s="499" t="s">
        <v>669</v>
      </c>
      <c r="E53" s="513" t="s">
        <v>670</v>
      </c>
      <c r="F53" s="486"/>
      <c r="G53" s="198"/>
      <c r="H53" s="198"/>
    </row>
    <row r="54" spans="1:8" ht="45">
      <c r="A54" s="482">
        <v>47</v>
      </c>
      <c r="B54" s="511" t="s">
        <v>671</v>
      </c>
      <c r="C54" s="512" t="s">
        <v>596</v>
      </c>
      <c r="D54" s="499" t="s">
        <v>672</v>
      </c>
      <c r="E54" s="513" t="s">
        <v>673</v>
      </c>
      <c r="F54" s="486"/>
      <c r="G54" s="198"/>
      <c r="H54" s="198"/>
    </row>
    <row r="55" spans="1:8" ht="45">
      <c r="A55" s="482">
        <v>48</v>
      </c>
      <c r="B55" s="511" t="s">
        <v>631</v>
      </c>
      <c r="C55" s="512" t="s">
        <v>632</v>
      </c>
      <c r="D55" s="499" t="s">
        <v>674</v>
      </c>
      <c r="E55" s="513" t="s">
        <v>675</v>
      </c>
      <c r="F55" s="486"/>
      <c r="G55" s="198"/>
      <c r="H55" s="198"/>
    </row>
    <row r="56" spans="1:8" ht="45">
      <c r="A56" s="482">
        <v>49</v>
      </c>
      <c r="B56" s="511" t="s">
        <v>676</v>
      </c>
      <c r="C56" s="512" t="s">
        <v>677</v>
      </c>
      <c r="D56" s="499" t="s">
        <v>678</v>
      </c>
      <c r="E56" s="513" t="s">
        <v>679</v>
      </c>
      <c r="F56" s="486"/>
      <c r="G56" s="198"/>
      <c r="H56" s="198"/>
    </row>
    <row r="57" spans="1:8" ht="45">
      <c r="A57" s="482">
        <v>50</v>
      </c>
      <c r="B57" s="511" t="s">
        <v>626</v>
      </c>
      <c r="C57" s="512" t="s">
        <v>627</v>
      </c>
      <c r="D57" s="499" t="s">
        <v>680</v>
      </c>
      <c r="E57" s="513" t="s">
        <v>681</v>
      </c>
      <c r="F57" s="486"/>
      <c r="G57" s="198"/>
      <c r="H57" s="198"/>
    </row>
    <row r="58" spans="1:8" ht="45">
      <c r="A58" s="482">
        <v>51</v>
      </c>
      <c r="B58" s="511" t="s">
        <v>621</v>
      </c>
      <c r="C58" s="512" t="s">
        <v>622</v>
      </c>
      <c r="D58" s="499"/>
      <c r="E58" s="513"/>
      <c r="F58" s="486"/>
      <c r="G58" s="198"/>
      <c r="H58" s="198"/>
    </row>
    <row r="59" spans="1:8" ht="45">
      <c r="A59" s="482">
        <v>52</v>
      </c>
      <c r="B59" s="511" t="s">
        <v>682</v>
      </c>
      <c r="C59" s="512" t="s">
        <v>683</v>
      </c>
      <c r="D59" s="499" t="s">
        <v>618</v>
      </c>
      <c r="E59" s="513"/>
      <c r="F59" s="486"/>
      <c r="G59" s="198"/>
      <c r="H59" s="198"/>
    </row>
    <row r="60" spans="1:8" ht="45">
      <c r="A60" s="482">
        <v>53</v>
      </c>
      <c r="B60" s="501" t="s">
        <v>684</v>
      </c>
      <c r="C60" s="502" t="s">
        <v>685</v>
      </c>
      <c r="D60" s="499"/>
    </row>
    <row r="61" spans="1:8" ht="45">
      <c r="C61" s="502" t="s">
        <v>686</v>
      </c>
    </row>
    <row r="62" spans="1:8" ht="45">
      <c r="C62" s="486"/>
    </row>
    <row r="65" spans="1:3">
      <c r="A65" s="517"/>
      <c r="B65" s="518"/>
      <c r="C65" s="519"/>
    </row>
    <row r="66" spans="1:3">
      <c r="A66" s="517"/>
      <c r="B66" s="518"/>
      <c r="C66" s="519"/>
    </row>
    <row r="67" spans="1:3">
      <c r="A67" s="517"/>
      <c r="B67" s="518"/>
      <c r="C67" s="519"/>
    </row>
    <row r="68" spans="1:3">
      <c r="A68" s="517"/>
      <c r="B68" s="518"/>
      <c r="C68" s="519"/>
    </row>
    <row r="69" spans="1:3">
      <c r="A69" s="517"/>
      <c r="B69" s="518"/>
      <c r="C69" s="519"/>
    </row>
    <row r="70" spans="1:3">
      <c r="A70" s="517"/>
      <c r="B70" s="518"/>
      <c r="C70" s="519"/>
    </row>
    <row r="71" spans="1:3">
      <c r="A71" s="517"/>
      <c r="B71" s="518"/>
      <c r="C71" s="519"/>
    </row>
    <row r="72" spans="1:3">
      <c r="A72" s="517"/>
      <c r="B72" s="518"/>
      <c r="C72" s="519"/>
    </row>
    <row r="73" spans="1:3">
      <c r="A73" s="517"/>
      <c r="B73" s="518"/>
      <c r="C73" s="519"/>
    </row>
    <row r="74" spans="1:3">
      <c r="A74" s="517"/>
      <c r="B74" s="518"/>
      <c r="C74" s="519"/>
    </row>
    <row r="75" spans="1:3">
      <c r="A75" s="517"/>
      <c r="B75" s="518"/>
      <c r="C75" s="519"/>
    </row>
    <row r="76" spans="1:3">
      <c r="A76" s="517"/>
      <c r="B76" s="518"/>
      <c r="C76" s="519"/>
    </row>
    <row r="77" spans="1:3">
      <c r="A77" s="517"/>
      <c r="B77" s="518"/>
      <c r="C77" s="519"/>
    </row>
    <row r="78" spans="1:3">
      <c r="A78" s="517"/>
      <c r="B78" s="518"/>
      <c r="C78" s="519"/>
    </row>
    <row r="79" spans="1:3">
      <c r="A79" s="520"/>
      <c r="B79" s="518"/>
      <c r="C79" s="519"/>
    </row>
    <row r="80" spans="1:3">
      <c r="A80" s="517"/>
      <c r="B80" s="518"/>
      <c r="C80" s="519"/>
    </row>
    <row r="81" spans="1:3">
      <c r="A81" s="517"/>
      <c r="B81" s="518"/>
      <c r="C81" s="519"/>
    </row>
    <row r="82" spans="1:3">
      <c r="A82" s="517"/>
      <c r="B82" s="518"/>
      <c r="C82" s="519"/>
    </row>
    <row r="83" spans="1:3">
      <c r="A83" s="517"/>
      <c r="B83" s="518"/>
      <c r="C83" s="519"/>
    </row>
    <row r="84" spans="1:3">
      <c r="A84" s="517"/>
      <c r="B84" s="518"/>
      <c r="C84" s="519"/>
    </row>
  </sheetData>
  <autoFilter ref="A1:K37"/>
  <hyperlinks>
    <hyperlink ref="B55" r:id="rId1"/>
    <hyperlink ref="B29" r:id="rId2"/>
    <hyperlink ref="B10" r:id="rId3"/>
    <hyperlink ref="B30" r:id="rId4"/>
    <hyperlink ref="C35" r:id="rId5"/>
    <hyperlink ref="E1" r:id="rId6"/>
    <hyperlink ref="E2" r:id="rId7"/>
    <hyperlink ref="F1" r:id="rId8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/>
  <dimension ref="A1:J215"/>
  <sheetViews>
    <sheetView zoomScale="25" zoomScaleNormal="25" workbookViewId="0"/>
  </sheetViews>
  <sheetFormatPr defaultColWidth="9.140625" defaultRowHeight="115.5"/>
  <cols>
    <col min="1" max="1" width="195.28515625" style="418" customWidth="1"/>
    <col min="2" max="2" width="170.85546875" style="419" customWidth="1"/>
    <col min="3" max="3" width="330.42578125" style="420" customWidth="1"/>
    <col min="4" max="4" width="371.85546875" style="421" customWidth="1"/>
    <col min="5" max="5" width="82.5703125" style="418" customWidth="1"/>
    <col min="6" max="6" width="250.28515625" style="422" customWidth="1"/>
    <col min="7" max="7" width="143.85546875" style="423" customWidth="1"/>
    <col min="8" max="8" width="45.140625" style="423" customWidth="1"/>
    <col min="9" max="9" width="40.140625" style="424" customWidth="1"/>
    <col min="10" max="10" width="33.7109375" style="423" customWidth="1"/>
    <col min="11" max="16384" width="9.140625" style="423"/>
  </cols>
  <sheetData>
    <row r="1" spans="1:10">
      <c r="A1" s="425" t="s">
        <v>687</v>
      </c>
      <c r="B1" s="426" t="s">
        <v>688</v>
      </c>
      <c r="C1" s="427" t="s">
        <v>689</v>
      </c>
      <c r="D1" s="425" t="s">
        <v>690</v>
      </c>
      <c r="E1" s="425" t="s">
        <v>691</v>
      </c>
      <c r="F1" s="425" t="s">
        <v>692</v>
      </c>
      <c r="G1" s="428" t="s">
        <v>693</v>
      </c>
      <c r="H1" s="429"/>
      <c r="I1" s="429" t="s">
        <v>694</v>
      </c>
      <c r="J1" s="423" t="s">
        <v>695</v>
      </c>
    </row>
    <row r="2" spans="1:10" hidden="1">
      <c r="A2" s="430" t="s">
        <v>696</v>
      </c>
      <c r="B2" s="431">
        <v>51</v>
      </c>
      <c r="C2" s="432" t="s">
        <v>697</v>
      </c>
      <c r="D2" s="433" t="s">
        <v>698</v>
      </c>
      <c r="E2" s="434" t="s">
        <v>699</v>
      </c>
      <c r="F2" s="435"/>
      <c r="I2" s="457"/>
    </row>
    <row r="3" spans="1:10" hidden="1">
      <c r="A3" s="430" t="s">
        <v>700</v>
      </c>
      <c r="B3" s="431"/>
      <c r="C3" s="432" t="s">
        <v>701</v>
      </c>
      <c r="D3" s="436" t="s">
        <v>698</v>
      </c>
      <c r="E3" s="434" t="s">
        <v>699</v>
      </c>
      <c r="F3" s="435"/>
      <c r="I3" s="457"/>
    </row>
    <row r="4" spans="1:10" hidden="1">
      <c r="A4" s="430" t="s">
        <v>702</v>
      </c>
      <c r="B4" s="431" t="s">
        <v>703</v>
      </c>
      <c r="C4" s="432" t="s">
        <v>704</v>
      </c>
      <c r="D4" s="436" t="s">
        <v>698</v>
      </c>
      <c r="E4" s="434" t="s">
        <v>699</v>
      </c>
      <c r="F4" s="435"/>
      <c r="I4" s="457"/>
    </row>
    <row r="5" spans="1:10" hidden="1">
      <c r="A5" s="430" t="s">
        <v>705</v>
      </c>
      <c r="B5" s="431">
        <v>583.5</v>
      </c>
      <c r="C5" s="432" t="s">
        <v>706</v>
      </c>
      <c r="D5" s="436" t="s">
        <v>698</v>
      </c>
      <c r="E5" s="434" t="s">
        <v>699</v>
      </c>
      <c r="F5" s="435"/>
      <c r="I5" s="457"/>
    </row>
    <row r="6" spans="1:10" hidden="1">
      <c r="A6" s="437" t="s">
        <v>707</v>
      </c>
      <c r="B6" s="438"/>
      <c r="C6" s="439" t="s">
        <v>708</v>
      </c>
      <c r="D6" s="440" t="s">
        <v>698</v>
      </c>
      <c r="E6" s="434" t="s">
        <v>699</v>
      </c>
      <c r="F6" s="435">
        <v>4000008587</v>
      </c>
      <c r="I6" s="457"/>
    </row>
    <row r="7" spans="1:10" hidden="1">
      <c r="A7" s="437" t="s">
        <v>709</v>
      </c>
      <c r="B7" s="438">
        <v>121</v>
      </c>
      <c r="C7" s="439" t="s">
        <v>710</v>
      </c>
      <c r="D7" s="433" t="s">
        <v>711</v>
      </c>
      <c r="E7" s="434" t="s">
        <v>712</v>
      </c>
      <c r="F7" s="435"/>
      <c r="I7" s="457"/>
    </row>
    <row r="8" spans="1:10" hidden="1">
      <c r="A8" s="430" t="s">
        <v>713</v>
      </c>
      <c r="B8" s="431">
        <v>75.599999999999994</v>
      </c>
      <c r="C8" s="432" t="s">
        <v>714</v>
      </c>
      <c r="D8" s="436" t="s">
        <v>711</v>
      </c>
      <c r="E8" s="434" t="s">
        <v>699</v>
      </c>
      <c r="F8" s="435"/>
      <c r="I8" s="457"/>
    </row>
    <row r="9" spans="1:10" hidden="1">
      <c r="A9" s="430" t="s">
        <v>715</v>
      </c>
      <c r="B9" s="431">
        <v>20.98</v>
      </c>
      <c r="C9" s="432" t="s">
        <v>716</v>
      </c>
      <c r="D9" s="436" t="s">
        <v>711</v>
      </c>
      <c r="E9" s="434"/>
      <c r="F9" s="435"/>
      <c r="I9" s="457"/>
    </row>
    <row r="10" spans="1:10" hidden="1">
      <c r="A10" s="430" t="s">
        <v>713</v>
      </c>
      <c r="B10" s="431"/>
      <c r="C10" s="432" t="s">
        <v>717</v>
      </c>
      <c r="D10" s="436" t="s">
        <v>711</v>
      </c>
      <c r="E10" s="434"/>
      <c r="F10" s="435"/>
      <c r="I10" s="457"/>
    </row>
    <row r="11" spans="1:10" hidden="1">
      <c r="A11" s="430" t="s">
        <v>718</v>
      </c>
      <c r="B11" s="431">
        <v>50</v>
      </c>
      <c r="C11" s="432" t="s">
        <v>719</v>
      </c>
      <c r="D11" s="436" t="s">
        <v>711</v>
      </c>
      <c r="E11" s="434" t="s">
        <v>699</v>
      </c>
      <c r="F11" s="435"/>
      <c r="I11" s="457"/>
    </row>
    <row r="12" spans="1:10" hidden="1">
      <c r="A12" s="430" t="s">
        <v>720</v>
      </c>
      <c r="B12" s="431"/>
      <c r="C12" s="441" t="s">
        <v>721</v>
      </c>
      <c r="D12" s="442" t="s">
        <v>711</v>
      </c>
      <c r="E12" s="434"/>
      <c r="F12" s="435"/>
      <c r="I12" s="457"/>
    </row>
    <row r="13" spans="1:10" hidden="1">
      <c r="A13" s="430" t="s">
        <v>722</v>
      </c>
      <c r="B13" s="431">
        <v>87.12</v>
      </c>
      <c r="C13" s="432" t="s">
        <v>723</v>
      </c>
      <c r="D13" s="436" t="s">
        <v>711</v>
      </c>
      <c r="E13" s="434"/>
      <c r="F13" s="435"/>
      <c r="I13" s="457"/>
    </row>
    <row r="14" spans="1:10" hidden="1">
      <c r="A14" s="437" t="s">
        <v>724</v>
      </c>
      <c r="B14" s="438"/>
      <c r="C14" s="439" t="s">
        <v>725</v>
      </c>
      <c r="D14" s="440" t="s">
        <v>711</v>
      </c>
      <c r="E14" s="443" t="s">
        <v>699</v>
      </c>
      <c r="F14" s="444"/>
      <c r="G14" s="417"/>
      <c r="I14" s="457"/>
    </row>
    <row r="15" spans="1:10" hidden="1">
      <c r="A15" s="430" t="s">
        <v>726</v>
      </c>
      <c r="B15" s="431">
        <v>535.91999999999996</v>
      </c>
      <c r="C15" s="432" t="s">
        <v>727</v>
      </c>
      <c r="D15" s="436" t="s">
        <v>711</v>
      </c>
      <c r="E15" s="434" t="s">
        <v>699</v>
      </c>
      <c r="F15" s="435">
        <v>4000009549</v>
      </c>
      <c r="I15" s="457"/>
    </row>
    <row r="16" spans="1:10" hidden="1">
      <c r="A16" s="430" t="s">
        <v>728</v>
      </c>
      <c r="B16" s="431"/>
      <c r="C16" s="432" t="s">
        <v>729</v>
      </c>
      <c r="D16" s="436" t="s">
        <v>711</v>
      </c>
      <c r="E16" s="434" t="s">
        <v>699</v>
      </c>
      <c r="F16" s="435">
        <v>4500000043</v>
      </c>
      <c r="I16" s="457"/>
    </row>
    <row r="17" spans="1:9" hidden="1">
      <c r="A17" s="430" t="s">
        <v>730</v>
      </c>
      <c r="B17" s="431">
        <v>87.12</v>
      </c>
      <c r="C17" s="432" t="s">
        <v>731</v>
      </c>
      <c r="D17" s="436" t="s">
        <v>711</v>
      </c>
      <c r="E17" s="434"/>
      <c r="F17" s="435"/>
      <c r="I17" s="457"/>
    </row>
    <row r="18" spans="1:9">
      <c r="A18" s="430" t="s">
        <v>732</v>
      </c>
      <c r="B18" s="431">
        <v>21.38</v>
      </c>
      <c r="C18" s="432" t="s">
        <v>733</v>
      </c>
      <c r="D18" s="433" t="s">
        <v>734</v>
      </c>
      <c r="E18" s="434" t="s">
        <v>699</v>
      </c>
      <c r="F18" s="435"/>
      <c r="I18" s="457"/>
    </row>
    <row r="19" spans="1:9">
      <c r="A19" s="430" t="s">
        <v>735</v>
      </c>
      <c r="B19" s="431"/>
      <c r="C19" s="432" t="s">
        <v>736</v>
      </c>
      <c r="D19" s="436" t="s">
        <v>737</v>
      </c>
      <c r="E19" s="434" t="s">
        <v>699</v>
      </c>
      <c r="F19" s="435"/>
      <c r="I19" s="457"/>
    </row>
    <row r="20" spans="1:9">
      <c r="A20" s="430" t="s">
        <v>738</v>
      </c>
      <c r="B20" s="431">
        <v>15.2</v>
      </c>
      <c r="C20" s="432" t="s">
        <v>739</v>
      </c>
      <c r="D20" s="436" t="s">
        <v>737</v>
      </c>
      <c r="E20" s="434" t="s">
        <v>699</v>
      </c>
      <c r="F20" s="435"/>
      <c r="I20" s="457"/>
    </row>
    <row r="21" spans="1:9">
      <c r="A21" s="430" t="s">
        <v>740</v>
      </c>
      <c r="B21" s="431"/>
      <c r="C21" s="432" t="s">
        <v>741</v>
      </c>
      <c r="D21" s="436" t="s">
        <v>737</v>
      </c>
      <c r="E21" s="434" t="s">
        <v>699</v>
      </c>
      <c r="F21" s="435"/>
      <c r="I21" s="457"/>
    </row>
    <row r="22" spans="1:9">
      <c r="A22" s="430" t="s">
        <v>738</v>
      </c>
      <c r="B22" s="431">
        <v>19.8</v>
      </c>
      <c r="C22" s="432" t="s">
        <v>739</v>
      </c>
      <c r="D22" s="436" t="s">
        <v>737</v>
      </c>
      <c r="E22" s="434" t="s">
        <v>699</v>
      </c>
      <c r="F22" s="435">
        <v>4500000043</v>
      </c>
      <c r="I22" s="457"/>
    </row>
    <row r="23" spans="1:9">
      <c r="A23" s="430" t="s">
        <v>742</v>
      </c>
      <c r="B23" s="431">
        <v>42.21</v>
      </c>
      <c r="C23" s="432" t="s">
        <v>743</v>
      </c>
      <c r="D23" s="436" t="s">
        <v>737</v>
      </c>
      <c r="E23" s="434" t="s">
        <v>699</v>
      </c>
      <c r="F23" s="435">
        <v>4500000043</v>
      </c>
      <c r="I23" s="457"/>
    </row>
    <row r="24" spans="1:9" hidden="1">
      <c r="A24" s="445" t="s">
        <v>744</v>
      </c>
      <c r="B24" s="446">
        <v>165.5</v>
      </c>
      <c r="C24" s="441" t="s">
        <v>745</v>
      </c>
      <c r="D24" s="433" t="s">
        <v>746</v>
      </c>
      <c r="E24" s="434" t="s">
        <v>699</v>
      </c>
      <c r="F24" s="435"/>
      <c r="I24" s="457"/>
    </row>
    <row r="25" spans="1:9" hidden="1">
      <c r="A25" s="430" t="s">
        <v>747</v>
      </c>
      <c r="B25" s="431"/>
      <c r="C25" s="432" t="s">
        <v>748</v>
      </c>
      <c r="D25" s="436" t="s">
        <v>746</v>
      </c>
      <c r="E25" s="434" t="s">
        <v>699</v>
      </c>
      <c r="F25" s="435"/>
      <c r="I25" s="457"/>
    </row>
    <row r="26" spans="1:9" hidden="1">
      <c r="A26" s="430" t="s">
        <v>749</v>
      </c>
      <c r="B26" s="431">
        <v>17</v>
      </c>
      <c r="C26" s="432" t="s">
        <v>750</v>
      </c>
      <c r="D26" s="436" t="s">
        <v>746</v>
      </c>
      <c r="E26" s="434" t="s">
        <v>699</v>
      </c>
      <c r="F26" s="435"/>
      <c r="G26" s="447" t="s">
        <v>751</v>
      </c>
      <c r="I26" s="457"/>
    </row>
    <row r="27" spans="1:9" hidden="1">
      <c r="A27" s="448" t="s">
        <v>752</v>
      </c>
      <c r="B27" s="449">
        <v>63</v>
      </c>
      <c r="C27" s="450" t="s">
        <v>753</v>
      </c>
      <c r="D27" s="451" t="s">
        <v>746</v>
      </c>
      <c r="E27" s="434" t="s">
        <v>699</v>
      </c>
      <c r="F27" s="435"/>
      <c r="I27" s="457"/>
    </row>
    <row r="28" spans="1:9" hidden="1">
      <c r="A28" s="430" t="s">
        <v>754</v>
      </c>
      <c r="B28" s="431"/>
      <c r="C28" s="432" t="s">
        <v>755</v>
      </c>
      <c r="D28" s="436" t="s">
        <v>746</v>
      </c>
      <c r="E28" s="434" t="s">
        <v>699</v>
      </c>
      <c r="F28" s="435"/>
      <c r="I28" s="457"/>
    </row>
    <row r="29" spans="1:9" hidden="1">
      <c r="A29" s="430" t="s">
        <v>756</v>
      </c>
      <c r="B29" s="431"/>
      <c r="C29" s="432" t="s">
        <v>757</v>
      </c>
      <c r="D29" s="436" t="s">
        <v>746</v>
      </c>
      <c r="E29" s="434" t="s">
        <v>699</v>
      </c>
      <c r="F29" s="435"/>
      <c r="I29" s="457"/>
    </row>
    <row r="30" spans="1:9" hidden="1">
      <c r="A30" s="437" t="s">
        <v>758</v>
      </c>
      <c r="B30" s="438"/>
      <c r="C30" s="439" t="s">
        <v>759</v>
      </c>
      <c r="D30" s="440" t="s">
        <v>746</v>
      </c>
      <c r="E30" s="443" t="s">
        <v>699</v>
      </c>
      <c r="F30" s="444"/>
      <c r="I30" s="457"/>
    </row>
    <row r="31" spans="1:9" hidden="1">
      <c r="A31" s="430" t="s">
        <v>760</v>
      </c>
      <c r="B31" s="431">
        <v>140</v>
      </c>
      <c r="C31" s="432" t="s">
        <v>761</v>
      </c>
      <c r="D31" s="436" t="s">
        <v>762</v>
      </c>
      <c r="E31" s="434" t="s">
        <v>699</v>
      </c>
      <c r="F31" s="435">
        <v>4500000043</v>
      </c>
      <c r="I31" s="457"/>
    </row>
    <row r="32" spans="1:9" hidden="1">
      <c r="A32" s="430" t="s">
        <v>763</v>
      </c>
      <c r="B32" s="431">
        <v>214</v>
      </c>
      <c r="C32" s="432" t="s">
        <v>764</v>
      </c>
      <c r="D32" s="433" t="s">
        <v>765</v>
      </c>
      <c r="E32" s="434" t="s">
        <v>699</v>
      </c>
      <c r="F32" s="435"/>
      <c r="I32" s="457"/>
    </row>
    <row r="33" spans="1:9" hidden="1">
      <c r="A33" s="445" t="s">
        <v>766</v>
      </c>
      <c r="B33" s="452">
        <v>89.7</v>
      </c>
      <c r="C33" s="441" t="s">
        <v>767</v>
      </c>
      <c r="D33" s="442" t="s">
        <v>765</v>
      </c>
      <c r="E33" s="453" t="s">
        <v>699</v>
      </c>
      <c r="F33" s="454"/>
      <c r="I33" s="457"/>
    </row>
    <row r="34" spans="1:9" hidden="1">
      <c r="A34" s="430" t="s">
        <v>768</v>
      </c>
      <c r="B34" s="431" t="s">
        <v>769</v>
      </c>
      <c r="C34" s="432" t="s">
        <v>770</v>
      </c>
      <c r="D34" s="436" t="s">
        <v>765</v>
      </c>
      <c r="E34" s="430" t="s">
        <v>699</v>
      </c>
      <c r="F34" s="435"/>
      <c r="I34" s="457"/>
    </row>
    <row r="35" spans="1:9" hidden="1">
      <c r="A35" s="430" t="s">
        <v>771</v>
      </c>
      <c r="B35" s="431">
        <v>102.3</v>
      </c>
      <c r="C35" s="432" t="s">
        <v>772</v>
      </c>
      <c r="D35" s="436" t="s">
        <v>765</v>
      </c>
      <c r="E35" s="430" t="s">
        <v>699</v>
      </c>
      <c r="F35" s="435"/>
      <c r="I35" s="457"/>
    </row>
    <row r="36" spans="1:9" hidden="1">
      <c r="A36" s="430" t="s">
        <v>771</v>
      </c>
      <c r="B36" s="431">
        <v>102.3</v>
      </c>
      <c r="C36" s="432" t="s">
        <v>772</v>
      </c>
      <c r="D36" s="436" t="s">
        <v>765</v>
      </c>
      <c r="E36" s="430" t="s">
        <v>699</v>
      </c>
      <c r="F36" s="435"/>
      <c r="I36" s="457"/>
    </row>
    <row r="37" spans="1:9" hidden="1">
      <c r="A37" s="430" t="s">
        <v>773</v>
      </c>
      <c r="B37" s="431"/>
      <c r="C37" s="432" t="s">
        <v>774</v>
      </c>
      <c r="D37" s="433" t="s">
        <v>775</v>
      </c>
      <c r="E37" s="434" t="s">
        <v>699</v>
      </c>
      <c r="F37" s="435"/>
      <c r="I37" s="457"/>
    </row>
    <row r="38" spans="1:9" hidden="1">
      <c r="A38" s="430" t="s">
        <v>776</v>
      </c>
      <c r="B38" s="431"/>
      <c r="C38" s="432" t="s">
        <v>96</v>
      </c>
      <c r="D38" s="433" t="s">
        <v>777</v>
      </c>
      <c r="E38" s="434"/>
      <c r="F38" s="435"/>
      <c r="I38" s="457"/>
    </row>
    <row r="39" spans="1:9" hidden="1">
      <c r="A39" s="430" t="s">
        <v>709</v>
      </c>
      <c r="B39" s="431"/>
      <c r="C39" s="432" t="s">
        <v>83</v>
      </c>
      <c r="D39" s="436" t="s">
        <v>777</v>
      </c>
      <c r="E39" s="434"/>
      <c r="F39" s="435"/>
      <c r="I39" s="457"/>
    </row>
    <row r="40" spans="1:9" hidden="1">
      <c r="A40" s="430" t="s">
        <v>778</v>
      </c>
      <c r="B40" s="431"/>
      <c r="C40" s="432" t="s">
        <v>779</v>
      </c>
      <c r="D40" s="436" t="s">
        <v>777</v>
      </c>
      <c r="E40" s="434"/>
      <c r="F40" s="435"/>
      <c r="I40" s="457"/>
    </row>
    <row r="41" spans="1:9" hidden="1">
      <c r="A41" s="430" t="s">
        <v>780</v>
      </c>
      <c r="B41" s="431"/>
      <c r="C41" s="432" t="s">
        <v>781</v>
      </c>
      <c r="D41" s="436" t="s">
        <v>777</v>
      </c>
      <c r="E41" s="434"/>
      <c r="F41" s="435"/>
      <c r="I41" s="457"/>
    </row>
    <row r="42" spans="1:9" hidden="1">
      <c r="A42" s="430" t="s">
        <v>782</v>
      </c>
      <c r="B42" s="431">
        <v>1175</v>
      </c>
      <c r="C42" s="432" t="s">
        <v>783</v>
      </c>
      <c r="D42" s="433" t="s">
        <v>784</v>
      </c>
      <c r="E42" s="434" t="s">
        <v>699</v>
      </c>
      <c r="F42" s="435"/>
      <c r="I42" s="457"/>
    </row>
    <row r="43" spans="1:9" hidden="1">
      <c r="A43" s="430" t="s">
        <v>785</v>
      </c>
      <c r="B43" s="431"/>
      <c r="C43" s="432" t="s">
        <v>786</v>
      </c>
      <c r="D43" s="433" t="s">
        <v>787</v>
      </c>
      <c r="E43" s="434"/>
      <c r="F43" s="435"/>
      <c r="I43" s="457"/>
    </row>
    <row r="44" spans="1:9" hidden="1">
      <c r="A44" s="430" t="s">
        <v>788</v>
      </c>
      <c r="B44" s="431">
        <v>160</v>
      </c>
      <c r="C44" s="432" t="s">
        <v>789</v>
      </c>
      <c r="D44" s="433" t="s">
        <v>790</v>
      </c>
      <c r="E44" s="434" t="s">
        <v>699</v>
      </c>
      <c r="F44" s="435" t="s">
        <v>791</v>
      </c>
      <c r="I44" s="457"/>
    </row>
    <row r="45" spans="1:9" hidden="1">
      <c r="A45" s="430" t="s">
        <v>792</v>
      </c>
      <c r="B45" s="431">
        <v>585</v>
      </c>
      <c r="C45" s="432" t="s">
        <v>793</v>
      </c>
      <c r="D45" s="436" t="s">
        <v>790</v>
      </c>
      <c r="E45" s="434" t="s">
        <v>699</v>
      </c>
      <c r="F45" s="435"/>
      <c r="I45" s="457"/>
    </row>
    <row r="46" spans="1:9" hidden="1">
      <c r="A46" s="430" t="s">
        <v>794</v>
      </c>
      <c r="B46" s="431">
        <v>28.42</v>
      </c>
      <c r="C46" s="432" t="s">
        <v>795</v>
      </c>
      <c r="D46" s="433" t="s">
        <v>796</v>
      </c>
      <c r="E46" s="434" t="s">
        <v>699</v>
      </c>
      <c r="F46" s="435"/>
      <c r="I46" s="457"/>
    </row>
    <row r="47" spans="1:9" hidden="1">
      <c r="A47" s="430" t="s">
        <v>797</v>
      </c>
      <c r="B47" s="431">
        <v>35</v>
      </c>
      <c r="C47" s="432" t="s">
        <v>798</v>
      </c>
      <c r="D47" s="433" t="s">
        <v>796</v>
      </c>
      <c r="E47" s="434" t="s">
        <v>699</v>
      </c>
      <c r="F47" s="435"/>
      <c r="I47" s="457"/>
    </row>
    <row r="48" spans="1:9" hidden="1">
      <c r="A48" s="430" t="s">
        <v>707</v>
      </c>
      <c r="B48" s="431">
        <v>21.23</v>
      </c>
      <c r="C48" s="432" t="s">
        <v>799</v>
      </c>
      <c r="D48" s="433" t="s">
        <v>800</v>
      </c>
      <c r="E48" s="434" t="s">
        <v>699</v>
      </c>
      <c r="F48" s="435"/>
      <c r="I48" s="457"/>
    </row>
    <row r="49" spans="1:9" hidden="1">
      <c r="A49" s="430" t="s">
        <v>705</v>
      </c>
      <c r="B49" s="431"/>
      <c r="C49" s="432" t="s">
        <v>801</v>
      </c>
      <c r="D49" s="436" t="s">
        <v>800</v>
      </c>
      <c r="E49" s="434" t="s">
        <v>699</v>
      </c>
      <c r="F49" s="435"/>
      <c r="I49" s="457"/>
    </row>
    <row r="50" spans="1:9" hidden="1">
      <c r="A50" s="430" t="s">
        <v>707</v>
      </c>
      <c r="B50" s="431"/>
      <c r="C50" s="432" t="s">
        <v>799</v>
      </c>
      <c r="D50" s="433" t="s">
        <v>130</v>
      </c>
      <c r="E50" s="434" t="s">
        <v>699</v>
      </c>
      <c r="F50" s="435">
        <v>4000008759</v>
      </c>
      <c r="I50" s="457"/>
    </row>
    <row r="51" spans="1:9" hidden="1">
      <c r="A51" s="430" t="s">
        <v>802</v>
      </c>
      <c r="B51" s="431">
        <v>15</v>
      </c>
      <c r="C51" s="432" t="s">
        <v>803</v>
      </c>
      <c r="D51" s="436" t="s">
        <v>130</v>
      </c>
      <c r="E51" s="434" t="s">
        <v>699</v>
      </c>
      <c r="F51" s="435"/>
      <c r="I51" s="457"/>
    </row>
    <row r="52" spans="1:9" hidden="1">
      <c r="A52" s="430" t="s">
        <v>804</v>
      </c>
      <c r="B52" s="431">
        <v>100</v>
      </c>
      <c r="C52" s="432" t="s">
        <v>805</v>
      </c>
      <c r="D52" s="436" t="s">
        <v>130</v>
      </c>
      <c r="E52" s="434" t="s">
        <v>699</v>
      </c>
      <c r="F52" s="435"/>
      <c r="I52" s="457"/>
    </row>
    <row r="53" spans="1:9" hidden="1">
      <c r="A53" s="437" t="s">
        <v>707</v>
      </c>
      <c r="B53" s="438">
        <v>14.65</v>
      </c>
      <c r="C53" s="439" t="s">
        <v>799</v>
      </c>
      <c r="D53" s="433" t="s">
        <v>806</v>
      </c>
      <c r="E53" s="434" t="s">
        <v>807</v>
      </c>
      <c r="F53" s="435">
        <v>4500000043</v>
      </c>
      <c r="I53" s="457"/>
    </row>
    <row r="54" spans="1:9" hidden="1">
      <c r="A54" s="430" t="s">
        <v>730</v>
      </c>
      <c r="B54" s="431"/>
      <c r="C54" s="432" t="s">
        <v>808</v>
      </c>
      <c r="D54" s="436" t="s">
        <v>806</v>
      </c>
      <c r="E54" s="434" t="s">
        <v>699</v>
      </c>
      <c r="F54" s="435"/>
      <c r="I54" s="457"/>
    </row>
    <row r="55" spans="1:9" hidden="1">
      <c r="A55" s="445" t="s">
        <v>809</v>
      </c>
      <c r="B55" s="452">
        <v>168.94</v>
      </c>
      <c r="C55" s="441" t="s">
        <v>810</v>
      </c>
      <c r="D55" s="433" t="s">
        <v>366</v>
      </c>
      <c r="E55" s="434" t="s">
        <v>699</v>
      </c>
      <c r="F55" s="435">
        <v>4500000043</v>
      </c>
      <c r="I55" s="457"/>
    </row>
    <row r="56" spans="1:9" hidden="1">
      <c r="A56" s="445" t="s">
        <v>811</v>
      </c>
      <c r="B56" s="452">
        <v>0.01</v>
      </c>
      <c r="C56" s="441" t="s">
        <v>812</v>
      </c>
      <c r="D56" s="442" t="s">
        <v>366</v>
      </c>
      <c r="E56" s="434" t="s">
        <v>699</v>
      </c>
      <c r="F56" s="435">
        <v>4500000043</v>
      </c>
      <c r="I56" s="457"/>
    </row>
    <row r="57" spans="1:9" hidden="1">
      <c r="A57" s="445" t="s">
        <v>709</v>
      </c>
      <c r="B57" s="452"/>
      <c r="C57" s="441" t="s">
        <v>83</v>
      </c>
      <c r="D57" s="442" t="s">
        <v>366</v>
      </c>
      <c r="E57" s="442">
        <v>2602023</v>
      </c>
      <c r="F57" s="455"/>
      <c r="I57" s="457"/>
    </row>
    <row r="58" spans="1:9" hidden="1">
      <c r="A58" s="445" t="s">
        <v>813</v>
      </c>
      <c r="B58" s="452" t="s">
        <v>814</v>
      </c>
      <c r="C58" s="441" t="s">
        <v>815</v>
      </c>
      <c r="D58" s="442" t="s">
        <v>366</v>
      </c>
      <c r="E58" s="456">
        <v>2509016</v>
      </c>
      <c r="F58" s="455"/>
      <c r="I58" s="457"/>
    </row>
    <row r="59" spans="1:9" hidden="1">
      <c r="A59" s="445" t="s">
        <v>816</v>
      </c>
      <c r="B59" s="452"/>
      <c r="C59" s="441" t="s">
        <v>817</v>
      </c>
      <c r="D59" s="442" t="s">
        <v>366</v>
      </c>
      <c r="E59" s="456">
        <v>2511019</v>
      </c>
      <c r="F59" s="455"/>
      <c r="I59" s="457"/>
    </row>
    <row r="60" spans="1:9" hidden="1">
      <c r="A60" s="445" t="s">
        <v>818</v>
      </c>
      <c r="B60" s="452"/>
      <c r="C60" s="441" t="s">
        <v>819</v>
      </c>
      <c r="D60" s="442" t="s">
        <v>366</v>
      </c>
      <c r="E60" s="456">
        <v>2507014</v>
      </c>
      <c r="F60" s="455"/>
      <c r="I60" s="457"/>
    </row>
    <row r="61" spans="1:9" hidden="1">
      <c r="A61" s="445" t="s">
        <v>820</v>
      </c>
      <c r="B61" s="452"/>
      <c r="C61" s="441" t="s">
        <v>821</v>
      </c>
      <c r="D61" s="442" t="s">
        <v>366</v>
      </c>
      <c r="E61" s="456">
        <v>2505009</v>
      </c>
      <c r="F61" s="455"/>
      <c r="I61" s="457"/>
    </row>
    <row r="62" spans="1:9" hidden="1">
      <c r="A62" s="445" t="s">
        <v>720</v>
      </c>
      <c r="B62" s="452"/>
      <c r="C62" s="441" t="s">
        <v>721</v>
      </c>
      <c r="D62" s="442" t="s">
        <v>366</v>
      </c>
      <c r="E62" s="456">
        <v>250551</v>
      </c>
      <c r="F62" s="455"/>
      <c r="I62" s="457"/>
    </row>
    <row r="63" spans="1:9" hidden="1">
      <c r="A63" s="445" t="s">
        <v>776</v>
      </c>
      <c r="B63" s="452"/>
      <c r="C63" s="441" t="s">
        <v>822</v>
      </c>
      <c r="D63" s="442" t="s">
        <v>366</v>
      </c>
      <c r="E63" s="456">
        <v>251293</v>
      </c>
      <c r="F63" s="455"/>
      <c r="I63" s="457"/>
    </row>
    <row r="64" spans="1:9" hidden="1">
      <c r="A64" s="445" t="s">
        <v>823</v>
      </c>
      <c r="B64" s="452"/>
      <c r="C64" s="441" t="s">
        <v>719</v>
      </c>
      <c r="D64" s="442" t="s">
        <v>366</v>
      </c>
      <c r="E64" s="453">
        <v>250555</v>
      </c>
    </row>
    <row r="65" spans="1:9" hidden="1">
      <c r="A65" s="445" t="s">
        <v>824</v>
      </c>
      <c r="B65" s="452"/>
      <c r="C65" s="441" t="s">
        <v>825</v>
      </c>
      <c r="D65" s="442" t="s">
        <v>366</v>
      </c>
      <c r="E65" s="456">
        <v>251284</v>
      </c>
    </row>
    <row r="66" spans="1:9" hidden="1">
      <c r="A66" s="445" t="s">
        <v>826</v>
      </c>
      <c r="B66" s="452"/>
      <c r="C66" s="441" t="s">
        <v>827</v>
      </c>
      <c r="D66" s="442" t="s">
        <v>366</v>
      </c>
      <c r="E66" s="456">
        <v>251137</v>
      </c>
    </row>
    <row r="67" spans="1:9" hidden="1">
      <c r="A67" s="430" t="s">
        <v>828</v>
      </c>
      <c r="B67" s="431"/>
      <c r="C67" s="432" t="s">
        <v>829</v>
      </c>
      <c r="D67" s="436" t="s">
        <v>366</v>
      </c>
      <c r="E67" s="458"/>
    </row>
    <row r="68" spans="1:9" hidden="1">
      <c r="A68" s="445" t="s">
        <v>830</v>
      </c>
      <c r="B68" s="452"/>
      <c r="C68" s="441" t="s">
        <v>831</v>
      </c>
      <c r="D68" s="442" t="s">
        <v>366</v>
      </c>
      <c r="E68" s="458"/>
    </row>
    <row r="69" spans="1:9" hidden="1">
      <c r="A69" s="445" t="s">
        <v>832</v>
      </c>
      <c r="B69" s="452"/>
      <c r="C69" s="441" t="s">
        <v>833</v>
      </c>
      <c r="D69" s="442" t="s">
        <v>366</v>
      </c>
    </row>
    <row r="70" spans="1:9" hidden="1">
      <c r="A70" s="430" t="s">
        <v>780</v>
      </c>
      <c r="B70" s="431">
        <v>340</v>
      </c>
      <c r="C70" s="459" t="s">
        <v>834</v>
      </c>
      <c r="D70" s="442" t="s">
        <v>366</v>
      </c>
    </row>
    <row r="71" spans="1:9" hidden="1">
      <c r="A71" s="448" t="s">
        <v>835</v>
      </c>
      <c r="B71" s="449"/>
      <c r="C71" s="460" t="s">
        <v>836</v>
      </c>
      <c r="D71" s="451" t="s">
        <v>366</v>
      </c>
    </row>
    <row r="72" spans="1:9" hidden="1">
      <c r="A72" s="430" t="s">
        <v>837</v>
      </c>
      <c r="B72" s="431"/>
      <c r="C72" s="459" t="s">
        <v>838</v>
      </c>
      <c r="D72" s="442" t="s">
        <v>366</v>
      </c>
      <c r="E72" s="418" t="s">
        <v>578</v>
      </c>
    </row>
    <row r="73" spans="1:9" hidden="1">
      <c r="A73" s="430" t="s">
        <v>839</v>
      </c>
      <c r="B73" s="431"/>
      <c r="C73" s="459" t="s">
        <v>840</v>
      </c>
      <c r="D73" s="442" t="s">
        <v>366</v>
      </c>
      <c r="E73" s="418" t="s">
        <v>578</v>
      </c>
    </row>
    <row r="74" spans="1:9" hidden="1">
      <c r="A74" s="430" t="s">
        <v>841</v>
      </c>
      <c r="B74" s="431"/>
      <c r="C74" s="459" t="s">
        <v>842</v>
      </c>
      <c r="D74" s="442" t="s">
        <v>366</v>
      </c>
      <c r="E74" s="418" t="s">
        <v>578</v>
      </c>
    </row>
    <row r="75" spans="1:9" hidden="1">
      <c r="A75" s="430" t="s">
        <v>823</v>
      </c>
      <c r="B75" s="431">
        <v>3.15</v>
      </c>
      <c r="C75" s="432" t="s">
        <v>719</v>
      </c>
      <c r="D75" s="433" t="s">
        <v>270</v>
      </c>
      <c r="E75" s="434" t="s">
        <v>699</v>
      </c>
      <c r="F75" s="435"/>
      <c r="I75" s="457"/>
    </row>
    <row r="76" spans="1:9" hidden="1">
      <c r="A76" s="430" t="s">
        <v>720</v>
      </c>
      <c r="B76" s="431"/>
      <c r="C76" s="432" t="s">
        <v>721</v>
      </c>
      <c r="D76" s="436" t="s">
        <v>270</v>
      </c>
      <c r="E76" s="434"/>
      <c r="F76" s="435"/>
      <c r="I76" s="457"/>
    </row>
    <row r="77" spans="1:9" hidden="1">
      <c r="A77" s="437" t="s">
        <v>730</v>
      </c>
      <c r="B77" s="438"/>
      <c r="C77" s="439" t="s">
        <v>808</v>
      </c>
      <c r="D77" s="440" t="s">
        <v>270</v>
      </c>
      <c r="E77" s="434"/>
      <c r="F77" s="435"/>
      <c r="I77" s="457"/>
    </row>
    <row r="78" spans="1:9" hidden="1">
      <c r="A78" s="437" t="s">
        <v>843</v>
      </c>
      <c r="B78" s="438"/>
      <c r="C78" s="439" t="s">
        <v>844</v>
      </c>
      <c r="D78" s="440" t="s">
        <v>270</v>
      </c>
      <c r="E78" s="434"/>
      <c r="F78" s="435"/>
      <c r="I78" s="457"/>
    </row>
    <row r="79" spans="1:9" hidden="1">
      <c r="A79" s="437" t="s">
        <v>845</v>
      </c>
      <c r="B79" s="438"/>
      <c r="C79" s="439" t="s">
        <v>110</v>
      </c>
      <c r="D79" s="440" t="s">
        <v>270</v>
      </c>
      <c r="E79" s="434"/>
      <c r="F79" s="435"/>
      <c r="I79" s="457"/>
    </row>
    <row r="80" spans="1:9" hidden="1">
      <c r="A80" s="430" t="s">
        <v>846</v>
      </c>
      <c r="B80" s="431">
        <v>39.6</v>
      </c>
      <c r="C80" s="432" t="s">
        <v>847</v>
      </c>
      <c r="D80" s="433" t="s">
        <v>848</v>
      </c>
      <c r="E80" s="434" t="s">
        <v>699</v>
      </c>
      <c r="F80" s="435"/>
      <c r="I80" s="457"/>
    </row>
    <row r="81" spans="1:9" hidden="1">
      <c r="A81" s="430" t="s">
        <v>849</v>
      </c>
      <c r="B81" s="431"/>
      <c r="C81" s="432" t="s">
        <v>850</v>
      </c>
      <c r="D81" s="433" t="s">
        <v>851</v>
      </c>
      <c r="E81" s="434">
        <v>99</v>
      </c>
      <c r="F81" s="435"/>
      <c r="I81" s="457"/>
    </row>
    <row r="82" spans="1:9" hidden="1">
      <c r="A82" s="430" t="s">
        <v>713</v>
      </c>
      <c r="B82" s="431">
        <v>236.56</v>
      </c>
      <c r="C82" s="432" t="s">
        <v>717</v>
      </c>
      <c r="D82" s="433" t="s">
        <v>852</v>
      </c>
      <c r="E82" s="434" t="s">
        <v>699</v>
      </c>
      <c r="F82" s="435">
        <v>4500000043</v>
      </c>
      <c r="I82" s="457"/>
    </row>
    <row r="83" spans="1:9" hidden="1">
      <c r="A83" s="430" t="s">
        <v>707</v>
      </c>
      <c r="B83" s="431">
        <v>45</v>
      </c>
      <c r="C83" s="432" t="s">
        <v>799</v>
      </c>
      <c r="D83" s="433" t="s">
        <v>853</v>
      </c>
      <c r="E83" s="434" t="s">
        <v>699</v>
      </c>
      <c r="F83" s="435">
        <v>4500000043</v>
      </c>
      <c r="I83" s="457"/>
    </row>
    <row r="84" spans="1:9" hidden="1">
      <c r="A84" s="430" t="s">
        <v>707</v>
      </c>
      <c r="B84" s="431">
        <v>0.78</v>
      </c>
      <c r="C84" s="432" t="s">
        <v>799</v>
      </c>
      <c r="D84" s="433" t="s">
        <v>854</v>
      </c>
      <c r="E84" s="434" t="s">
        <v>699</v>
      </c>
      <c r="F84" s="435"/>
      <c r="I84" s="457"/>
    </row>
    <row r="85" spans="1:9" hidden="1">
      <c r="A85" s="430" t="s">
        <v>705</v>
      </c>
      <c r="B85" s="431">
        <v>7.15</v>
      </c>
      <c r="C85" s="432" t="s">
        <v>855</v>
      </c>
      <c r="D85" s="436" t="s">
        <v>854</v>
      </c>
      <c r="E85" s="434" t="s">
        <v>699</v>
      </c>
      <c r="F85" s="435"/>
      <c r="I85" s="457"/>
    </row>
    <row r="86" spans="1:9" hidden="1">
      <c r="A86" s="430" t="s">
        <v>709</v>
      </c>
      <c r="B86" s="431">
        <v>6.15</v>
      </c>
      <c r="C86" s="432" t="s">
        <v>83</v>
      </c>
      <c r="D86" s="436" t="s">
        <v>854</v>
      </c>
      <c r="E86" s="434" t="s">
        <v>856</v>
      </c>
      <c r="F86" s="435"/>
      <c r="I86" s="457"/>
    </row>
    <row r="87" spans="1:9" hidden="1">
      <c r="A87" s="430" t="s">
        <v>804</v>
      </c>
      <c r="B87" s="431">
        <v>2.2000000000000002</v>
      </c>
      <c r="C87" s="432" t="s">
        <v>805</v>
      </c>
      <c r="D87" s="436" t="s">
        <v>854</v>
      </c>
      <c r="E87" s="434" t="s">
        <v>699</v>
      </c>
      <c r="F87" s="435"/>
      <c r="I87" s="457"/>
    </row>
    <row r="88" spans="1:9" hidden="1">
      <c r="A88" s="430" t="s">
        <v>823</v>
      </c>
      <c r="B88" s="431" t="s">
        <v>857</v>
      </c>
      <c r="C88" s="432" t="s">
        <v>719</v>
      </c>
      <c r="D88" s="433" t="s">
        <v>332</v>
      </c>
      <c r="E88" s="434" t="s">
        <v>699</v>
      </c>
      <c r="F88" s="435"/>
      <c r="I88" s="457"/>
    </row>
    <row r="89" spans="1:9" hidden="1">
      <c r="A89" s="430" t="s">
        <v>826</v>
      </c>
      <c r="B89" s="431" t="s">
        <v>858</v>
      </c>
      <c r="C89" s="432" t="s">
        <v>827</v>
      </c>
      <c r="D89" s="436" t="s">
        <v>332</v>
      </c>
      <c r="E89" s="434"/>
      <c r="F89" s="435"/>
      <c r="I89" s="457"/>
    </row>
    <row r="90" spans="1:9" hidden="1">
      <c r="A90" s="430" t="s">
        <v>859</v>
      </c>
      <c r="B90" s="431">
        <v>50.11</v>
      </c>
      <c r="C90" s="432" t="s">
        <v>860</v>
      </c>
      <c r="D90" s="433" t="s">
        <v>861</v>
      </c>
      <c r="E90" s="434" t="s">
        <v>699</v>
      </c>
      <c r="F90" s="435">
        <v>4000009071</v>
      </c>
      <c r="I90" s="457"/>
    </row>
    <row r="91" spans="1:9" hidden="1">
      <c r="A91" s="430" t="s">
        <v>859</v>
      </c>
      <c r="B91" s="431"/>
      <c r="C91" s="432" t="s">
        <v>860</v>
      </c>
      <c r="D91" s="433" t="s">
        <v>862</v>
      </c>
      <c r="E91" s="434" t="s">
        <v>699</v>
      </c>
      <c r="F91" s="435"/>
      <c r="I91" s="457"/>
    </row>
    <row r="92" spans="1:9" hidden="1">
      <c r="A92" s="430" t="s">
        <v>730</v>
      </c>
      <c r="B92" s="431"/>
      <c r="C92" s="432" t="s">
        <v>808</v>
      </c>
      <c r="D92" s="436" t="s">
        <v>862</v>
      </c>
      <c r="E92" s="434"/>
      <c r="F92" s="435"/>
      <c r="I92" s="457"/>
    </row>
    <row r="93" spans="1:9" hidden="1">
      <c r="A93" s="430" t="s">
        <v>859</v>
      </c>
      <c r="B93" s="431"/>
      <c r="C93" s="432" t="s">
        <v>860</v>
      </c>
      <c r="D93" s="433" t="s">
        <v>863</v>
      </c>
      <c r="E93" s="434" t="s">
        <v>699</v>
      </c>
      <c r="F93" s="435" t="s">
        <v>864</v>
      </c>
      <c r="I93" s="457"/>
    </row>
    <row r="94" spans="1:9" hidden="1">
      <c r="A94" s="430" t="s">
        <v>865</v>
      </c>
      <c r="B94" s="431">
        <v>39.6</v>
      </c>
      <c r="C94" s="432" t="s">
        <v>866</v>
      </c>
      <c r="D94" s="436" t="s">
        <v>863</v>
      </c>
      <c r="E94" s="434" t="s">
        <v>699</v>
      </c>
      <c r="F94" s="435"/>
      <c r="I94" s="457"/>
    </row>
    <row r="95" spans="1:9" hidden="1">
      <c r="A95" s="430" t="s">
        <v>813</v>
      </c>
      <c r="B95" s="431" t="s">
        <v>814</v>
      </c>
      <c r="C95" s="432" t="s">
        <v>815</v>
      </c>
      <c r="D95" s="436" t="s">
        <v>863</v>
      </c>
      <c r="E95" s="434" t="s">
        <v>699</v>
      </c>
      <c r="F95" s="435"/>
      <c r="I95" s="457"/>
    </row>
    <row r="96" spans="1:9" hidden="1">
      <c r="A96" s="430" t="s">
        <v>730</v>
      </c>
      <c r="B96" s="431"/>
      <c r="C96" s="432" t="s">
        <v>867</v>
      </c>
      <c r="D96" s="433" t="s">
        <v>217</v>
      </c>
      <c r="E96" s="434" t="s">
        <v>699</v>
      </c>
      <c r="F96" s="435"/>
      <c r="I96" s="457"/>
    </row>
    <row r="97" spans="1:9" hidden="1">
      <c r="A97" s="430" t="s">
        <v>720</v>
      </c>
      <c r="B97" s="431"/>
      <c r="C97" s="432" t="s">
        <v>721</v>
      </c>
      <c r="D97" s="433" t="s">
        <v>868</v>
      </c>
      <c r="E97" s="434"/>
      <c r="F97" s="435"/>
      <c r="I97" s="457"/>
    </row>
    <row r="98" spans="1:9" hidden="1">
      <c r="A98" s="430" t="s">
        <v>776</v>
      </c>
      <c r="B98" s="431"/>
      <c r="C98" s="432" t="s">
        <v>822</v>
      </c>
      <c r="D98" s="436" t="s">
        <v>868</v>
      </c>
      <c r="E98" s="434"/>
      <c r="F98" s="435"/>
      <c r="I98" s="457"/>
    </row>
    <row r="99" spans="1:9" hidden="1">
      <c r="A99" s="437" t="s">
        <v>730</v>
      </c>
      <c r="B99" s="461"/>
      <c r="C99" s="439" t="s">
        <v>808</v>
      </c>
      <c r="D99" s="436" t="s">
        <v>868</v>
      </c>
      <c r="E99" s="434"/>
      <c r="F99" s="435"/>
      <c r="I99" s="457"/>
    </row>
    <row r="100" spans="1:9" hidden="1">
      <c r="A100" s="430" t="s">
        <v>705</v>
      </c>
      <c r="B100" s="461"/>
      <c r="C100" s="439" t="s">
        <v>855</v>
      </c>
      <c r="D100" s="436" t="s">
        <v>868</v>
      </c>
      <c r="E100" s="434"/>
      <c r="F100" s="435"/>
      <c r="I100" s="457"/>
    </row>
    <row r="101" spans="1:9" hidden="1">
      <c r="A101" s="430" t="s">
        <v>720</v>
      </c>
      <c r="B101" s="431"/>
      <c r="C101" s="432" t="s">
        <v>721</v>
      </c>
      <c r="D101" s="433" t="s">
        <v>869</v>
      </c>
      <c r="E101" s="434"/>
      <c r="F101" s="435"/>
      <c r="I101" s="457"/>
    </row>
    <row r="102" spans="1:9" s="417" customFormat="1" hidden="1">
      <c r="A102" s="437" t="s">
        <v>730</v>
      </c>
      <c r="B102" s="461"/>
      <c r="C102" s="439" t="s">
        <v>808</v>
      </c>
      <c r="D102" s="440" t="s">
        <v>295</v>
      </c>
      <c r="E102" s="443" t="s">
        <v>699</v>
      </c>
      <c r="F102" s="444"/>
      <c r="I102" s="466"/>
    </row>
    <row r="103" spans="1:9" hidden="1">
      <c r="A103" s="430" t="s">
        <v>720</v>
      </c>
      <c r="C103" s="432" t="s">
        <v>721</v>
      </c>
      <c r="D103" s="433" t="s">
        <v>870</v>
      </c>
      <c r="E103" s="434" t="s">
        <v>699</v>
      </c>
      <c r="F103" s="435">
        <v>4000008888</v>
      </c>
      <c r="I103" s="457"/>
    </row>
    <row r="104" spans="1:9" hidden="1">
      <c r="A104" s="430" t="s">
        <v>823</v>
      </c>
      <c r="B104" s="431"/>
      <c r="C104" s="432" t="s">
        <v>719</v>
      </c>
      <c r="D104" s="436" t="s">
        <v>870</v>
      </c>
      <c r="E104" s="434" t="s">
        <v>699</v>
      </c>
      <c r="F104" s="435"/>
      <c r="I104" s="457"/>
    </row>
    <row r="105" spans="1:9" hidden="1">
      <c r="A105" s="430" t="s">
        <v>720</v>
      </c>
      <c r="B105" s="431">
        <v>195</v>
      </c>
      <c r="C105" s="432" t="s">
        <v>721</v>
      </c>
      <c r="D105" s="436" t="s">
        <v>870</v>
      </c>
      <c r="E105" s="434"/>
      <c r="F105" s="435"/>
      <c r="I105" s="457"/>
    </row>
    <row r="106" spans="1:9" hidden="1">
      <c r="A106" s="430" t="s">
        <v>871</v>
      </c>
      <c r="B106" s="431">
        <v>70.599999999999994</v>
      </c>
      <c r="C106" s="432" t="s">
        <v>872</v>
      </c>
      <c r="D106" s="436" t="s">
        <v>870</v>
      </c>
      <c r="E106" s="434" t="s">
        <v>699</v>
      </c>
      <c r="F106" s="435">
        <v>4000008587</v>
      </c>
      <c r="I106" s="457"/>
    </row>
    <row r="107" spans="1:9" hidden="1">
      <c r="A107" s="430" t="s">
        <v>859</v>
      </c>
      <c r="B107" s="431">
        <v>89.7</v>
      </c>
      <c r="C107" s="432" t="s">
        <v>860</v>
      </c>
      <c r="D107" s="436" t="s">
        <v>870</v>
      </c>
      <c r="E107" s="434" t="s">
        <v>699</v>
      </c>
      <c r="F107" s="435"/>
      <c r="I107" s="457"/>
    </row>
    <row r="108" spans="1:9" s="417" customFormat="1" hidden="1">
      <c r="A108" s="437" t="s">
        <v>730</v>
      </c>
      <c r="B108" s="461"/>
      <c r="C108" s="439" t="s">
        <v>808</v>
      </c>
      <c r="D108" s="440" t="s">
        <v>870</v>
      </c>
      <c r="E108" s="443" t="s">
        <v>856</v>
      </c>
      <c r="F108" s="444"/>
      <c r="I108" s="466"/>
    </row>
    <row r="109" spans="1:9" hidden="1">
      <c r="A109" s="430" t="s">
        <v>873</v>
      </c>
      <c r="B109" s="431"/>
      <c r="C109" s="432" t="s">
        <v>97</v>
      </c>
      <c r="D109" s="433" t="s">
        <v>283</v>
      </c>
      <c r="E109" s="434" t="s">
        <v>699</v>
      </c>
      <c r="F109" s="435"/>
      <c r="I109" s="457"/>
    </row>
    <row r="110" spans="1:9" hidden="1">
      <c r="A110" s="430" t="s">
        <v>824</v>
      </c>
      <c r="B110" s="431"/>
      <c r="C110" s="432" t="s">
        <v>825</v>
      </c>
      <c r="D110" s="436" t="s">
        <v>283</v>
      </c>
      <c r="E110" s="434" t="s">
        <v>699</v>
      </c>
      <c r="F110" s="435"/>
      <c r="I110" s="457"/>
    </row>
    <row r="111" spans="1:9" hidden="1">
      <c r="A111" s="430" t="s">
        <v>828</v>
      </c>
      <c r="B111" s="431"/>
      <c r="C111" s="432" t="s">
        <v>829</v>
      </c>
      <c r="D111" s="433" t="s">
        <v>874</v>
      </c>
      <c r="E111" s="434" t="s">
        <v>699</v>
      </c>
      <c r="F111" s="435"/>
      <c r="I111" s="457"/>
    </row>
    <row r="112" spans="1:9" hidden="1">
      <c r="A112" s="430" t="s">
        <v>730</v>
      </c>
      <c r="B112" s="431"/>
      <c r="C112" s="432" t="s">
        <v>808</v>
      </c>
      <c r="D112" s="433" t="s">
        <v>875</v>
      </c>
      <c r="E112" s="434"/>
      <c r="F112" s="435"/>
      <c r="I112" s="457"/>
    </row>
    <row r="113" spans="1:10" hidden="1">
      <c r="A113" s="430" t="s">
        <v>730</v>
      </c>
      <c r="B113" s="431"/>
      <c r="C113" s="432" t="s">
        <v>808</v>
      </c>
      <c r="D113" s="433" t="s">
        <v>253</v>
      </c>
      <c r="E113" s="434" t="s">
        <v>699</v>
      </c>
      <c r="F113" s="435"/>
      <c r="I113" s="457"/>
    </row>
    <row r="114" spans="1:10" hidden="1">
      <c r="A114" s="430" t="s">
        <v>876</v>
      </c>
      <c r="B114" s="431"/>
      <c r="C114" s="432" t="s">
        <v>74</v>
      </c>
      <c r="D114" s="434" t="s">
        <v>253</v>
      </c>
      <c r="E114" s="434"/>
      <c r="F114" s="435"/>
      <c r="I114" s="457"/>
    </row>
    <row r="115" spans="1:10" hidden="1">
      <c r="A115" s="430" t="s">
        <v>730</v>
      </c>
      <c r="B115" s="431"/>
      <c r="C115" s="432" t="s">
        <v>808</v>
      </c>
      <c r="D115" s="433" t="s">
        <v>877</v>
      </c>
      <c r="E115" s="434"/>
      <c r="F115" s="435"/>
      <c r="I115" s="457"/>
    </row>
    <row r="116" spans="1:10" hidden="1">
      <c r="A116" s="430" t="s">
        <v>730</v>
      </c>
      <c r="B116" s="431"/>
      <c r="C116" s="432" t="s">
        <v>808</v>
      </c>
      <c r="D116" s="433" t="s">
        <v>878</v>
      </c>
      <c r="E116" s="434"/>
      <c r="F116" s="435"/>
      <c r="I116" s="457"/>
    </row>
    <row r="117" spans="1:10" hidden="1">
      <c r="A117" s="430" t="s">
        <v>879</v>
      </c>
      <c r="B117" s="431">
        <v>50.11</v>
      </c>
      <c r="C117" s="432" t="s">
        <v>880</v>
      </c>
      <c r="D117" s="433" t="s">
        <v>881</v>
      </c>
      <c r="E117" s="434"/>
      <c r="F117" s="435">
        <v>4500000043</v>
      </c>
    </row>
    <row r="118" spans="1:10" hidden="1">
      <c r="A118" s="430" t="s">
        <v>882</v>
      </c>
      <c r="B118" s="431">
        <v>1150</v>
      </c>
      <c r="C118" s="432" t="s">
        <v>883</v>
      </c>
      <c r="D118" s="433" t="s">
        <v>884</v>
      </c>
      <c r="E118" s="430"/>
      <c r="F118" s="435"/>
    </row>
    <row r="119" spans="1:10" hidden="1">
      <c r="A119" s="430" t="s">
        <v>876</v>
      </c>
      <c r="B119" s="431"/>
      <c r="C119" s="432" t="s">
        <v>847</v>
      </c>
      <c r="D119" s="433" t="s">
        <v>885</v>
      </c>
      <c r="E119" s="434" t="s">
        <v>699</v>
      </c>
      <c r="F119" s="434"/>
    </row>
    <row r="120" spans="1:10" hidden="1">
      <c r="A120" s="430" t="s">
        <v>876</v>
      </c>
      <c r="B120" s="431"/>
      <c r="C120" s="432" t="s">
        <v>847</v>
      </c>
      <c r="D120" s="433" t="s">
        <v>886</v>
      </c>
      <c r="E120" s="434" t="s">
        <v>699</v>
      </c>
      <c r="F120" s="434"/>
    </row>
    <row r="121" spans="1:10" hidden="1">
      <c r="A121" s="430" t="s">
        <v>778</v>
      </c>
      <c r="B121" s="431">
        <v>190</v>
      </c>
      <c r="C121" s="462" t="s">
        <v>887</v>
      </c>
      <c r="D121" s="433" t="s">
        <v>888</v>
      </c>
      <c r="E121" s="434" t="s">
        <v>699</v>
      </c>
      <c r="F121" s="435"/>
    </row>
    <row r="122" spans="1:10" hidden="1">
      <c r="A122" s="430" t="s">
        <v>776</v>
      </c>
      <c r="B122" s="431">
        <v>140</v>
      </c>
      <c r="C122" s="462" t="s">
        <v>822</v>
      </c>
      <c r="D122" s="421" t="s">
        <v>888</v>
      </c>
      <c r="E122" s="434" t="s">
        <v>699</v>
      </c>
      <c r="F122" s="435"/>
      <c r="G122" s="463" t="s">
        <v>889</v>
      </c>
      <c r="I122" s="457"/>
    </row>
    <row r="123" spans="1:10" hidden="1">
      <c r="A123" s="430" t="s">
        <v>826</v>
      </c>
      <c r="B123" s="431">
        <v>583.5</v>
      </c>
      <c r="C123" s="432" t="s">
        <v>827</v>
      </c>
      <c r="D123" s="421" t="s">
        <v>888</v>
      </c>
      <c r="E123" s="434" t="s">
        <v>699</v>
      </c>
      <c r="F123" s="435"/>
    </row>
    <row r="124" spans="1:10" hidden="1">
      <c r="A124" s="445" t="s">
        <v>890</v>
      </c>
      <c r="B124" s="431"/>
      <c r="C124" s="441" t="s">
        <v>891</v>
      </c>
      <c r="D124" s="442" t="s">
        <v>888</v>
      </c>
      <c r="E124" s="453" t="s">
        <v>856</v>
      </c>
      <c r="F124" s="464"/>
      <c r="G124" s="465"/>
      <c r="I124" s="467">
        <v>4500000043</v>
      </c>
      <c r="J124" s="468">
        <v>120</v>
      </c>
    </row>
    <row r="125" spans="1:10" hidden="1">
      <c r="A125" s="445" t="s">
        <v>892</v>
      </c>
      <c r="B125" s="431"/>
      <c r="C125" s="441" t="s">
        <v>893</v>
      </c>
      <c r="D125" s="442" t="s">
        <v>888</v>
      </c>
      <c r="E125" s="453" t="s">
        <v>699</v>
      </c>
      <c r="F125" s="454"/>
      <c r="G125" s="465"/>
      <c r="I125" s="469" t="s">
        <v>807</v>
      </c>
      <c r="J125" s="470">
        <v>17</v>
      </c>
    </row>
    <row r="126" spans="1:10" hidden="1">
      <c r="A126" s="445" t="s">
        <v>894</v>
      </c>
      <c r="B126" s="452"/>
      <c r="C126" s="441" t="s">
        <v>895</v>
      </c>
      <c r="D126" s="442" t="s">
        <v>888</v>
      </c>
      <c r="E126" s="445"/>
      <c r="F126" s="454"/>
      <c r="G126" s="465"/>
    </row>
    <row r="127" spans="1:10" hidden="1">
      <c r="A127" s="445" t="s">
        <v>896</v>
      </c>
      <c r="B127" s="452">
        <v>66.28</v>
      </c>
      <c r="C127" s="441" t="s">
        <v>897</v>
      </c>
      <c r="D127" s="442" t="s">
        <v>888</v>
      </c>
      <c r="E127" s="453" t="s">
        <v>699</v>
      </c>
      <c r="F127" s="454"/>
      <c r="G127" s="465"/>
    </row>
    <row r="128" spans="1:10" hidden="1">
      <c r="A128" s="445" t="s">
        <v>709</v>
      </c>
      <c r="B128" s="452"/>
      <c r="C128" s="441" t="s">
        <v>710</v>
      </c>
      <c r="D128" s="442" t="s">
        <v>888</v>
      </c>
      <c r="E128" s="453" t="s">
        <v>856</v>
      </c>
      <c r="F128" s="454" t="s">
        <v>898</v>
      </c>
      <c r="G128" s="465"/>
    </row>
    <row r="129" spans="1:10" hidden="1">
      <c r="A129" s="445" t="s">
        <v>899</v>
      </c>
      <c r="B129" s="452">
        <v>66</v>
      </c>
      <c r="C129" s="441" t="s">
        <v>900</v>
      </c>
      <c r="D129" s="471" t="s">
        <v>888</v>
      </c>
      <c r="E129" s="453" t="s">
        <v>699</v>
      </c>
      <c r="F129" s="454"/>
      <c r="G129" s="472" t="s">
        <v>901</v>
      </c>
      <c r="H129" s="463" t="s">
        <v>889</v>
      </c>
      <c r="I129" s="457"/>
    </row>
    <row r="130" spans="1:10" hidden="1">
      <c r="A130" s="445" t="s">
        <v>846</v>
      </c>
      <c r="B130" s="473"/>
      <c r="C130" s="441" t="s">
        <v>847</v>
      </c>
      <c r="D130" s="442" t="s">
        <v>888</v>
      </c>
      <c r="E130" s="453" t="s">
        <v>699</v>
      </c>
      <c r="F130" s="454"/>
      <c r="G130" s="465"/>
      <c r="I130" s="467">
        <v>4500000043</v>
      </c>
      <c r="J130" s="468">
        <v>16</v>
      </c>
    </row>
    <row r="131" spans="1:10" hidden="1">
      <c r="A131" s="445" t="s">
        <v>902</v>
      </c>
      <c r="B131" s="452"/>
      <c r="C131" s="441" t="s">
        <v>903</v>
      </c>
      <c r="D131" s="471" t="s">
        <v>888</v>
      </c>
      <c r="E131" s="453" t="s">
        <v>699</v>
      </c>
      <c r="F131" s="464"/>
      <c r="G131" s="465"/>
      <c r="I131" s="467">
        <v>4500000043</v>
      </c>
      <c r="J131" s="468">
        <v>71</v>
      </c>
    </row>
    <row r="132" spans="1:10" hidden="1">
      <c r="A132" s="445" t="s">
        <v>904</v>
      </c>
      <c r="B132" s="452">
        <v>4</v>
      </c>
      <c r="C132" s="441" t="s">
        <v>53</v>
      </c>
      <c r="D132" s="442" t="s">
        <v>888</v>
      </c>
      <c r="E132" s="453">
        <v>99</v>
      </c>
      <c r="F132" s="454"/>
      <c r="G132" s="465"/>
      <c r="I132" s="457"/>
    </row>
    <row r="133" spans="1:10" hidden="1">
      <c r="A133" s="445" t="s">
        <v>804</v>
      </c>
      <c r="B133" s="452">
        <v>36.369999999999997</v>
      </c>
      <c r="C133" s="441" t="s">
        <v>805</v>
      </c>
      <c r="D133" s="442" t="s">
        <v>888</v>
      </c>
      <c r="E133" s="453" t="s">
        <v>699</v>
      </c>
      <c r="F133" s="454"/>
      <c r="G133" s="465"/>
    </row>
    <row r="134" spans="1:10" hidden="1">
      <c r="A134" s="445" t="s">
        <v>905</v>
      </c>
      <c r="B134" s="452">
        <v>50.11</v>
      </c>
      <c r="C134" s="441" t="s">
        <v>906</v>
      </c>
      <c r="D134" s="442" t="s">
        <v>888</v>
      </c>
      <c r="E134" s="453" t="s">
        <v>699</v>
      </c>
      <c r="F134" s="454"/>
      <c r="G134" s="465"/>
    </row>
    <row r="135" spans="1:10" hidden="1">
      <c r="A135" s="445" t="s">
        <v>907</v>
      </c>
      <c r="B135" s="452">
        <v>15</v>
      </c>
      <c r="C135" s="441" t="s">
        <v>908</v>
      </c>
      <c r="D135" s="442" t="s">
        <v>888</v>
      </c>
      <c r="E135" s="453" t="s">
        <v>807</v>
      </c>
      <c r="F135" s="454"/>
      <c r="G135" s="465"/>
    </row>
    <row r="136" spans="1:10" hidden="1">
      <c r="A136" s="445" t="s">
        <v>832</v>
      </c>
      <c r="B136" s="452">
        <v>350</v>
      </c>
      <c r="C136" s="441" t="s">
        <v>833</v>
      </c>
      <c r="D136" s="442" t="s">
        <v>888</v>
      </c>
      <c r="E136" s="453" t="s">
        <v>699</v>
      </c>
      <c r="F136" s="454"/>
      <c r="G136" s="465"/>
    </row>
    <row r="137" spans="1:10" hidden="1">
      <c r="A137" s="445" t="s">
        <v>809</v>
      </c>
      <c r="B137" s="452">
        <v>168.94</v>
      </c>
      <c r="C137" s="441" t="s">
        <v>810</v>
      </c>
      <c r="D137" s="442" t="s">
        <v>888</v>
      </c>
      <c r="E137" s="453" t="s">
        <v>699</v>
      </c>
      <c r="F137" s="454"/>
      <c r="G137" s="465"/>
    </row>
    <row r="138" spans="1:10" hidden="1">
      <c r="A138" s="445" t="s">
        <v>811</v>
      </c>
      <c r="B138" s="452">
        <v>0.01</v>
      </c>
      <c r="C138" s="441" t="s">
        <v>812</v>
      </c>
      <c r="D138" s="442" t="s">
        <v>888</v>
      </c>
      <c r="E138" s="453" t="s">
        <v>699</v>
      </c>
      <c r="F138" s="454"/>
      <c r="G138" s="465"/>
    </row>
    <row r="139" spans="1:10" hidden="1">
      <c r="A139" s="445" t="s">
        <v>813</v>
      </c>
      <c r="B139" s="452" t="s">
        <v>814</v>
      </c>
      <c r="C139" s="441" t="s">
        <v>815</v>
      </c>
      <c r="D139" s="442" t="s">
        <v>888</v>
      </c>
      <c r="E139" s="453" t="s">
        <v>856</v>
      </c>
      <c r="F139" s="454"/>
      <c r="G139" s="465"/>
    </row>
    <row r="140" spans="1:10" hidden="1">
      <c r="A140" s="445" t="s">
        <v>909</v>
      </c>
      <c r="B140" s="452" t="s">
        <v>910</v>
      </c>
      <c r="C140" s="441" t="s">
        <v>911</v>
      </c>
      <c r="D140" s="442" t="s">
        <v>888</v>
      </c>
      <c r="E140" s="453"/>
      <c r="F140" s="454"/>
      <c r="G140" s="465"/>
    </row>
    <row r="141" spans="1:10" hidden="1">
      <c r="A141" s="445" t="s">
        <v>912</v>
      </c>
      <c r="B141" s="452"/>
      <c r="C141" s="441" t="s">
        <v>913</v>
      </c>
      <c r="D141" s="442" t="s">
        <v>888</v>
      </c>
      <c r="E141" s="445"/>
      <c r="F141" s="454"/>
      <c r="G141" s="465"/>
    </row>
    <row r="142" spans="1:10" hidden="1">
      <c r="A142" s="430" t="s">
        <v>914</v>
      </c>
      <c r="B142" s="431">
        <v>45.25</v>
      </c>
      <c r="C142" s="432" t="s">
        <v>915</v>
      </c>
      <c r="D142" s="436"/>
      <c r="E142" s="434" t="s">
        <v>699</v>
      </c>
      <c r="F142" s="435">
        <v>4500000043</v>
      </c>
    </row>
    <row r="143" spans="1:10" hidden="1">
      <c r="A143" s="430" t="s">
        <v>816</v>
      </c>
      <c r="B143" s="431"/>
      <c r="C143" s="432" t="s">
        <v>817</v>
      </c>
      <c r="D143" s="436"/>
      <c r="E143" s="430"/>
      <c r="F143" s="435"/>
    </row>
    <row r="144" spans="1:10" hidden="1">
      <c r="A144" s="430" t="s">
        <v>843</v>
      </c>
      <c r="B144" s="431"/>
      <c r="C144" s="459" t="s">
        <v>844</v>
      </c>
      <c r="D144" s="436"/>
      <c r="E144" s="430"/>
      <c r="F144" s="435"/>
    </row>
    <row r="145" spans="1:6" hidden="1">
      <c r="A145" s="430" t="s">
        <v>916</v>
      </c>
      <c r="B145" s="431"/>
      <c r="C145" s="432" t="s">
        <v>917</v>
      </c>
      <c r="D145" s="436"/>
      <c r="E145" s="430"/>
      <c r="F145" s="435"/>
    </row>
    <row r="146" spans="1:6" hidden="1">
      <c r="A146" s="430" t="s">
        <v>918</v>
      </c>
      <c r="B146" s="431"/>
      <c r="C146" s="432" t="s">
        <v>919</v>
      </c>
      <c r="D146" s="436"/>
      <c r="E146" s="430"/>
      <c r="F146" s="435"/>
    </row>
    <row r="147" spans="1:6" hidden="1">
      <c r="A147" s="430" t="s">
        <v>792</v>
      </c>
      <c r="B147" s="431"/>
      <c r="C147" s="432" t="s">
        <v>920</v>
      </c>
      <c r="D147" s="436"/>
      <c r="E147" s="430"/>
      <c r="F147" s="435"/>
    </row>
    <row r="148" spans="1:6" hidden="1">
      <c r="A148" s="430" t="s">
        <v>921</v>
      </c>
      <c r="B148" s="431"/>
      <c r="C148" s="432" t="s">
        <v>922</v>
      </c>
      <c r="D148" s="436"/>
      <c r="E148" s="430"/>
      <c r="F148" s="435"/>
    </row>
    <row r="149" spans="1:6" hidden="1">
      <c r="A149" s="430" t="s">
        <v>923</v>
      </c>
      <c r="B149" s="431"/>
      <c r="C149" s="432" t="s">
        <v>924</v>
      </c>
      <c r="D149" s="474" t="s">
        <v>925</v>
      </c>
      <c r="E149" s="430"/>
      <c r="F149" s="435"/>
    </row>
    <row r="150" spans="1:6" hidden="1">
      <c r="A150" s="430" t="s">
        <v>730</v>
      </c>
      <c r="B150" s="431"/>
      <c r="C150" s="432" t="s">
        <v>867</v>
      </c>
      <c r="D150" s="436"/>
      <c r="E150" s="430"/>
      <c r="F150" s="435"/>
    </row>
    <row r="151" spans="1:6" hidden="1">
      <c r="A151" s="430" t="s">
        <v>926</v>
      </c>
      <c r="B151" s="431"/>
      <c r="C151" s="432" t="s">
        <v>927</v>
      </c>
      <c r="D151" s="436"/>
      <c r="E151" s="430"/>
      <c r="F151" s="435"/>
    </row>
    <row r="152" spans="1:6" hidden="1">
      <c r="A152" s="430" t="s">
        <v>928</v>
      </c>
      <c r="B152" s="431" t="s">
        <v>929</v>
      </c>
      <c r="C152" s="432" t="s">
        <v>930</v>
      </c>
      <c r="D152" s="436"/>
      <c r="E152" s="430"/>
      <c r="F152" s="435"/>
    </row>
    <row r="153" spans="1:6" hidden="1">
      <c r="A153" s="430" t="s">
        <v>931</v>
      </c>
      <c r="B153" s="431" t="s">
        <v>929</v>
      </c>
      <c r="C153" s="432" t="s">
        <v>932</v>
      </c>
      <c r="D153" s="436"/>
      <c r="E153" s="430"/>
      <c r="F153" s="435"/>
    </row>
    <row r="154" spans="1:6" hidden="1">
      <c r="A154" s="418" t="s">
        <v>837</v>
      </c>
      <c r="B154" s="431"/>
      <c r="C154" s="420" t="s">
        <v>838</v>
      </c>
      <c r="D154" s="436"/>
      <c r="E154" s="430"/>
      <c r="F154" s="435"/>
    </row>
    <row r="155" spans="1:6" hidden="1">
      <c r="A155" s="430" t="s">
        <v>813</v>
      </c>
      <c r="B155" s="431" t="s">
        <v>814</v>
      </c>
      <c r="C155" s="432" t="s">
        <v>815</v>
      </c>
      <c r="D155" s="436"/>
      <c r="E155" s="434" t="s">
        <v>699</v>
      </c>
    </row>
    <row r="156" spans="1:6" hidden="1">
      <c r="A156" s="430" t="s">
        <v>820</v>
      </c>
      <c r="B156" s="431"/>
      <c r="C156" s="432" t="s">
        <v>821</v>
      </c>
      <c r="D156" s="436"/>
      <c r="E156" s="434" t="s">
        <v>699</v>
      </c>
      <c r="F156" s="435"/>
    </row>
    <row r="157" spans="1:6" hidden="1">
      <c r="A157" s="430" t="s">
        <v>933</v>
      </c>
      <c r="B157" s="431">
        <v>13.3</v>
      </c>
      <c r="C157" s="432" t="s">
        <v>934</v>
      </c>
      <c r="D157" s="436"/>
      <c r="E157" s="434" t="s">
        <v>807</v>
      </c>
      <c r="F157" s="435">
        <v>4500000043</v>
      </c>
    </row>
    <row r="158" spans="1:6" hidden="1">
      <c r="A158" s="430" t="s">
        <v>935</v>
      </c>
      <c r="B158" s="431"/>
      <c r="C158" s="432" t="s">
        <v>936</v>
      </c>
      <c r="D158" s="436"/>
      <c r="E158" s="434" t="s">
        <v>856</v>
      </c>
      <c r="F158" s="435"/>
    </row>
    <row r="159" spans="1:6" hidden="1">
      <c r="A159" s="430" t="s">
        <v>937</v>
      </c>
      <c r="B159" s="431"/>
      <c r="C159" s="432" t="s">
        <v>938</v>
      </c>
      <c r="D159" s="436"/>
      <c r="E159" s="434" t="s">
        <v>699</v>
      </c>
      <c r="F159" s="435"/>
    </row>
    <row r="160" spans="1:6" hidden="1">
      <c r="A160" s="430" t="s">
        <v>835</v>
      </c>
      <c r="B160" s="431">
        <v>29.5</v>
      </c>
      <c r="C160" s="432" t="s">
        <v>836</v>
      </c>
      <c r="D160" s="436"/>
      <c r="E160" s="434" t="s">
        <v>807</v>
      </c>
      <c r="F160" s="435">
        <v>4500000055</v>
      </c>
    </row>
    <row r="161" spans="1:6" hidden="1">
      <c r="A161" s="430" t="s">
        <v>939</v>
      </c>
      <c r="B161" s="431"/>
      <c r="C161" s="432" t="s">
        <v>940</v>
      </c>
      <c r="D161" s="436"/>
      <c r="E161" s="434" t="s">
        <v>856</v>
      </c>
      <c r="F161" s="435"/>
    </row>
    <row r="162" spans="1:6" hidden="1">
      <c r="A162" s="430" t="s">
        <v>941</v>
      </c>
      <c r="B162" s="431"/>
      <c r="C162" s="432" t="s">
        <v>942</v>
      </c>
      <c r="D162" s="436"/>
      <c r="E162" s="434" t="s">
        <v>856</v>
      </c>
      <c r="F162" s="435"/>
    </row>
    <row r="163" spans="1:6" hidden="1">
      <c r="A163" s="430" t="s">
        <v>943</v>
      </c>
      <c r="B163" s="431"/>
      <c r="C163" s="432" t="s">
        <v>944</v>
      </c>
      <c r="D163" s="436"/>
      <c r="E163" s="434" t="s">
        <v>699</v>
      </c>
      <c r="F163" s="435"/>
    </row>
    <row r="164" spans="1:6" hidden="1">
      <c r="A164" s="430" t="s">
        <v>945</v>
      </c>
      <c r="B164" s="431"/>
      <c r="C164" s="432" t="s">
        <v>946</v>
      </c>
      <c r="D164" s="436"/>
      <c r="E164" s="434" t="s">
        <v>699</v>
      </c>
      <c r="F164" s="435"/>
    </row>
    <row r="165" spans="1:6" hidden="1">
      <c r="A165" s="430" t="s">
        <v>947</v>
      </c>
      <c r="B165" s="431"/>
      <c r="C165" s="432" t="s">
        <v>948</v>
      </c>
      <c r="D165" s="436"/>
      <c r="E165" s="434" t="s">
        <v>699</v>
      </c>
      <c r="F165" s="435"/>
    </row>
    <row r="166" spans="1:6" hidden="1">
      <c r="A166" s="430" t="s">
        <v>949</v>
      </c>
      <c r="B166" s="431"/>
      <c r="C166" s="432" t="s">
        <v>950</v>
      </c>
      <c r="D166" s="436"/>
      <c r="E166" s="434" t="s">
        <v>699</v>
      </c>
      <c r="F166" s="435"/>
    </row>
    <row r="167" spans="1:6" hidden="1">
      <c r="A167" s="430" t="s">
        <v>951</v>
      </c>
      <c r="B167" s="431"/>
      <c r="C167" s="432" t="s">
        <v>952</v>
      </c>
      <c r="D167" s="436"/>
      <c r="E167" s="434" t="s">
        <v>699</v>
      </c>
      <c r="F167" s="435"/>
    </row>
    <row r="168" spans="1:6" hidden="1">
      <c r="A168" s="430" t="s">
        <v>953</v>
      </c>
      <c r="B168" s="431"/>
      <c r="C168" s="459" t="s">
        <v>954</v>
      </c>
      <c r="D168" s="436"/>
      <c r="E168" s="434" t="s">
        <v>699</v>
      </c>
      <c r="F168" s="435"/>
    </row>
    <row r="169" spans="1:6" hidden="1">
      <c r="A169" s="430" t="s">
        <v>955</v>
      </c>
      <c r="B169" s="431"/>
      <c r="C169" s="432" t="s">
        <v>956</v>
      </c>
      <c r="D169" s="436"/>
      <c r="E169" s="434"/>
      <c r="F169" s="435"/>
    </row>
    <row r="170" spans="1:6" hidden="1">
      <c r="A170" s="430" t="s">
        <v>957</v>
      </c>
      <c r="B170" s="431"/>
      <c r="C170" s="432" t="s">
        <v>958</v>
      </c>
      <c r="D170" s="436"/>
      <c r="E170" s="434"/>
      <c r="F170" s="435"/>
    </row>
    <row r="171" spans="1:6" hidden="1">
      <c r="A171" s="430" t="s">
        <v>959</v>
      </c>
      <c r="B171" s="431"/>
      <c r="C171" s="432" t="s">
        <v>960</v>
      </c>
      <c r="D171" s="436"/>
      <c r="E171" s="434"/>
      <c r="F171" s="435"/>
    </row>
    <row r="172" spans="1:6" hidden="1">
      <c r="A172" s="430" t="s">
        <v>845</v>
      </c>
      <c r="B172" s="431"/>
      <c r="C172" s="432" t="s">
        <v>110</v>
      </c>
      <c r="D172" s="436"/>
      <c r="E172" s="434"/>
      <c r="F172" s="435"/>
    </row>
    <row r="173" spans="1:6" hidden="1">
      <c r="A173" s="430" t="s">
        <v>961</v>
      </c>
      <c r="B173" s="431"/>
      <c r="C173" s="432" t="s">
        <v>962</v>
      </c>
      <c r="D173" s="436"/>
      <c r="E173" s="434"/>
      <c r="F173" s="436" t="s">
        <v>963</v>
      </c>
    </row>
    <row r="174" spans="1:6" hidden="1">
      <c r="A174" s="430" t="s">
        <v>964</v>
      </c>
      <c r="B174" s="431" t="s">
        <v>703</v>
      </c>
      <c r="C174" s="432" t="s">
        <v>965</v>
      </c>
      <c r="D174" s="436"/>
      <c r="E174" s="434"/>
      <c r="F174" s="435"/>
    </row>
    <row r="175" spans="1:6" hidden="1">
      <c r="A175" s="430" t="s">
        <v>966</v>
      </c>
      <c r="B175" s="431"/>
      <c r="C175" s="432" t="s">
        <v>967</v>
      </c>
      <c r="D175" s="436"/>
      <c r="E175" s="430"/>
      <c r="F175" s="435"/>
    </row>
    <row r="176" spans="1:6" hidden="1">
      <c r="A176" s="430" t="s">
        <v>968</v>
      </c>
      <c r="B176" s="431"/>
      <c r="C176" s="432" t="s">
        <v>969</v>
      </c>
      <c r="D176" s="436"/>
      <c r="E176" s="430"/>
      <c r="F176" s="435"/>
    </row>
    <row r="177" spans="1:6" hidden="1">
      <c r="A177" s="430" t="s">
        <v>970</v>
      </c>
      <c r="B177" s="431"/>
      <c r="C177" s="432" t="s">
        <v>971</v>
      </c>
      <c r="D177" s="436"/>
      <c r="E177" s="430"/>
      <c r="F177" s="435"/>
    </row>
    <row r="178" spans="1:6" hidden="1">
      <c r="A178" s="430" t="s">
        <v>972</v>
      </c>
      <c r="B178" s="431"/>
      <c r="C178" s="432" t="s">
        <v>973</v>
      </c>
      <c r="D178" s="436"/>
      <c r="E178" s="430"/>
      <c r="F178" s="435"/>
    </row>
    <row r="179" spans="1:6" hidden="1">
      <c r="A179" s="430" t="s">
        <v>974</v>
      </c>
      <c r="B179" s="431"/>
      <c r="C179" s="432" t="s">
        <v>975</v>
      </c>
      <c r="D179" s="436"/>
      <c r="E179" s="430"/>
      <c r="F179" s="435"/>
    </row>
    <row r="180" spans="1:6" hidden="1">
      <c r="A180" s="430" t="s">
        <v>976</v>
      </c>
      <c r="B180" s="431"/>
      <c r="C180" s="432" t="s">
        <v>977</v>
      </c>
      <c r="D180" s="436"/>
      <c r="E180" s="430"/>
      <c r="F180" s="435"/>
    </row>
    <row r="181" spans="1:6" hidden="1">
      <c r="A181" s="430" t="s">
        <v>978</v>
      </c>
      <c r="B181" s="431"/>
      <c r="C181" s="432" t="s">
        <v>979</v>
      </c>
      <c r="D181" s="436"/>
      <c r="E181" s="430"/>
      <c r="F181" s="435"/>
    </row>
    <row r="182" spans="1:6" hidden="1">
      <c r="A182" s="430" t="s">
        <v>980</v>
      </c>
      <c r="B182" s="431"/>
      <c r="C182" s="432" t="s">
        <v>981</v>
      </c>
      <c r="D182" s="436"/>
      <c r="E182" s="430"/>
      <c r="F182" s="435"/>
    </row>
    <row r="183" spans="1:6" hidden="1">
      <c r="A183" s="430" t="s">
        <v>982</v>
      </c>
      <c r="B183" s="431"/>
      <c r="C183" s="432" t="s">
        <v>983</v>
      </c>
      <c r="D183" s="436"/>
      <c r="E183" s="430"/>
      <c r="F183" s="435"/>
    </row>
    <row r="184" spans="1:6" hidden="1">
      <c r="A184" s="430" t="s">
        <v>984</v>
      </c>
      <c r="B184" s="431"/>
      <c r="C184" s="432" t="s">
        <v>985</v>
      </c>
      <c r="D184" s="436"/>
      <c r="E184" s="430"/>
      <c r="F184" s="435"/>
    </row>
    <row r="185" spans="1:6" hidden="1">
      <c r="A185" s="430" t="s">
        <v>986</v>
      </c>
      <c r="B185" s="431"/>
      <c r="C185" s="432" t="s">
        <v>987</v>
      </c>
      <c r="D185" s="436"/>
      <c r="E185" s="430"/>
      <c r="F185" s="435"/>
    </row>
    <row r="186" spans="1:6" hidden="1">
      <c r="A186" s="430" t="s">
        <v>988</v>
      </c>
      <c r="B186" s="431"/>
      <c r="C186" s="432" t="s">
        <v>989</v>
      </c>
      <c r="D186" s="436"/>
      <c r="E186" s="434" t="s">
        <v>699</v>
      </c>
      <c r="F186" s="435"/>
    </row>
    <row r="187" spans="1:6" hidden="1">
      <c r="A187" s="430" t="s">
        <v>990</v>
      </c>
      <c r="B187" s="431"/>
      <c r="C187" s="432" t="s">
        <v>991</v>
      </c>
      <c r="D187" s="436"/>
      <c r="E187" s="434"/>
      <c r="F187" s="435"/>
    </row>
    <row r="188" spans="1:6" hidden="1">
      <c r="A188" s="430" t="s">
        <v>830</v>
      </c>
      <c r="B188" s="431"/>
      <c r="C188" s="432" t="s">
        <v>831</v>
      </c>
      <c r="D188" s="436"/>
      <c r="E188" s="434"/>
      <c r="F188" s="435"/>
    </row>
    <row r="189" spans="1:6" hidden="1">
      <c r="A189" s="430" t="s">
        <v>992</v>
      </c>
      <c r="B189" s="431"/>
      <c r="C189" s="432" t="s">
        <v>993</v>
      </c>
      <c r="D189" s="436"/>
      <c r="E189" s="434"/>
      <c r="F189" s="435"/>
    </row>
    <row r="190" spans="1:6" hidden="1">
      <c r="A190" s="430" t="s">
        <v>994</v>
      </c>
      <c r="B190" s="431"/>
      <c r="C190" s="432" t="s">
        <v>995</v>
      </c>
      <c r="D190" s="436"/>
      <c r="E190" s="434"/>
      <c r="F190" s="435"/>
    </row>
    <row r="191" spans="1:6" hidden="1">
      <c r="A191" s="430" t="s">
        <v>996</v>
      </c>
      <c r="B191" s="430"/>
      <c r="C191" s="420" t="s">
        <v>997</v>
      </c>
      <c r="D191" s="436"/>
      <c r="E191" s="434"/>
      <c r="F191" s="435"/>
    </row>
    <row r="192" spans="1:6" hidden="1">
      <c r="A192" s="430" t="s">
        <v>998</v>
      </c>
      <c r="B192" s="431"/>
      <c r="C192" s="459" t="s">
        <v>999</v>
      </c>
      <c r="D192" s="436"/>
      <c r="E192" s="434" t="s">
        <v>699</v>
      </c>
      <c r="F192" s="435"/>
    </row>
    <row r="193" spans="1:6" hidden="1">
      <c r="A193" s="430" t="s">
        <v>1000</v>
      </c>
      <c r="B193" s="431"/>
      <c r="C193" s="459" t="s">
        <v>1001</v>
      </c>
      <c r="D193" s="436"/>
      <c r="E193" s="434" t="s">
        <v>699</v>
      </c>
      <c r="F193" s="435"/>
    </row>
    <row r="194" spans="1:6" hidden="1">
      <c r="A194" s="430" t="s">
        <v>1002</v>
      </c>
      <c r="B194" s="431"/>
      <c r="C194" s="459" t="s">
        <v>1003</v>
      </c>
      <c r="D194" s="436"/>
      <c r="E194" s="434"/>
      <c r="F194" s="435"/>
    </row>
    <row r="195" spans="1:6" hidden="1">
      <c r="A195" s="430" t="s">
        <v>1004</v>
      </c>
      <c r="B195" s="431"/>
      <c r="C195" s="459" t="s">
        <v>1005</v>
      </c>
      <c r="D195" s="436"/>
      <c r="E195" s="434" t="s">
        <v>807</v>
      </c>
      <c r="F195" s="435"/>
    </row>
    <row r="196" spans="1:6" hidden="1">
      <c r="A196" s="430" t="s">
        <v>780</v>
      </c>
      <c r="B196" s="431">
        <v>340</v>
      </c>
      <c r="C196" s="459" t="s">
        <v>834</v>
      </c>
      <c r="D196" s="436"/>
      <c r="E196" s="434" t="s">
        <v>699</v>
      </c>
      <c r="F196" s="435"/>
    </row>
    <row r="197" spans="1:6" hidden="1">
      <c r="A197" s="430" t="s">
        <v>818</v>
      </c>
      <c r="B197" s="431"/>
      <c r="C197" s="432" t="s">
        <v>819</v>
      </c>
      <c r="D197" s="436"/>
      <c r="E197" s="434" t="s">
        <v>699</v>
      </c>
      <c r="F197" s="435"/>
    </row>
    <row r="198" spans="1:6" hidden="1">
      <c r="A198" s="430" t="s">
        <v>1006</v>
      </c>
      <c r="B198" s="431">
        <v>15</v>
      </c>
      <c r="C198" s="432" t="s">
        <v>1007</v>
      </c>
      <c r="D198" s="436"/>
      <c r="E198" s="434" t="s">
        <v>699</v>
      </c>
      <c r="F198" s="435">
        <v>4000008837</v>
      </c>
    </row>
    <row r="199" spans="1:6" hidden="1">
      <c r="A199" s="430" t="s">
        <v>1008</v>
      </c>
      <c r="B199" s="431"/>
      <c r="C199" s="432" t="s">
        <v>1009</v>
      </c>
      <c r="D199" s="436"/>
      <c r="E199" s="434" t="s">
        <v>856</v>
      </c>
      <c r="F199" s="435">
        <v>4500000043</v>
      </c>
    </row>
    <row r="200" spans="1:6" hidden="1">
      <c r="A200" s="430" t="s">
        <v>1010</v>
      </c>
      <c r="B200" s="431"/>
      <c r="C200" s="432" t="s">
        <v>866</v>
      </c>
      <c r="D200" s="436"/>
      <c r="E200" s="434" t="s">
        <v>699</v>
      </c>
      <c r="F200" s="435"/>
    </row>
    <row r="201" spans="1:6" hidden="1">
      <c r="A201" s="430" t="s">
        <v>1011</v>
      </c>
      <c r="B201" s="431"/>
      <c r="C201" s="432" t="s">
        <v>1012</v>
      </c>
      <c r="D201" s="436"/>
      <c r="E201" s="434" t="s">
        <v>699</v>
      </c>
      <c r="F201" s="435"/>
    </row>
    <row r="202" spans="1:6" hidden="1">
      <c r="A202" s="430" t="s">
        <v>1013</v>
      </c>
      <c r="B202" s="431">
        <v>169.8</v>
      </c>
      <c r="C202" s="432" t="s">
        <v>1014</v>
      </c>
      <c r="D202" s="436"/>
      <c r="E202" s="434" t="s">
        <v>699</v>
      </c>
      <c r="F202" s="435">
        <v>4500000043</v>
      </c>
    </row>
    <row r="203" spans="1:6" hidden="1">
      <c r="A203" s="430" t="s">
        <v>1015</v>
      </c>
      <c r="B203" s="431">
        <v>140</v>
      </c>
      <c r="C203" s="432" t="s">
        <v>1016</v>
      </c>
      <c r="D203" s="436"/>
      <c r="E203" s="434" t="s">
        <v>807</v>
      </c>
      <c r="F203" s="435">
        <v>4500000043</v>
      </c>
    </row>
    <row r="204" spans="1:6" hidden="1">
      <c r="A204" s="430" t="s">
        <v>1017</v>
      </c>
      <c r="B204" s="431">
        <v>167.28</v>
      </c>
      <c r="C204" s="432" t="s">
        <v>1018</v>
      </c>
      <c r="D204" s="436"/>
      <c r="E204" s="434" t="s">
        <v>699</v>
      </c>
      <c r="F204" s="435">
        <v>4500000043</v>
      </c>
    </row>
    <row r="205" spans="1:6" hidden="1">
      <c r="A205" s="430" t="s">
        <v>1019</v>
      </c>
      <c r="B205" s="431">
        <v>18</v>
      </c>
      <c r="C205" s="432" t="s">
        <v>1020</v>
      </c>
      <c r="D205" s="436"/>
      <c r="E205" s="434" t="s">
        <v>807</v>
      </c>
      <c r="F205" s="435">
        <v>4500000043</v>
      </c>
    </row>
    <row r="206" spans="1:6" hidden="1">
      <c r="A206" s="430" t="s">
        <v>1021</v>
      </c>
      <c r="B206" s="431">
        <v>15</v>
      </c>
      <c r="C206" s="432" t="s">
        <v>1022</v>
      </c>
      <c r="D206" s="436"/>
      <c r="E206" s="434" t="s">
        <v>807</v>
      </c>
      <c r="F206" s="435">
        <v>4500000043</v>
      </c>
    </row>
    <row r="207" spans="1:6" hidden="1">
      <c r="A207" s="430" t="s">
        <v>1023</v>
      </c>
      <c r="B207" s="431">
        <v>75</v>
      </c>
      <c r="C207" s="432" t="s">
        <v>66</v>
      </c>
      <c r="D207" s="436"/>
      <c r="E207" s="434" t="s">
        <v>699</v>
      </c>
      <c r="F207" s="435">
        <v>4500000043</v>
      </c>
    </row>
    <row r="208" spans="1:6" hidden="1">
      <c r="A208" s="430" t="s">
        <v>1008</v>
      </c>
      <c r="B208" s="431">
        <v>19.440000000000001</v>
      </c>
      <c r="C208" s="432" t="s">
        <v>1024</v>
      </c>
      <c r="D208" s="436"/>
      <c r="E208" s="434" t="s">
        <v>699</v>
      </c>
      <c r="F208" s="435"/>
    </row>
    <row r="209" spans="1:9" hidden="1">
      <c r="A209" s="430" t="s">
        <v>1025</v>
      </c>
      <c r="B209" s="431">
        <v>38</v>
      </c>
      <c r="C209" s="432" t="s">
        <v>1026</v>
      </c>
      <c r="D209" s="436"/>
      <c r="E209" s="434" t="s">
        <v>699</v>
      </c>
      <c r="F209" s="435">
        <v>4500000048</v>
      </c>
    </row>
    <row r="210" spans="1:9" hidden="1">
      <c r="A210" s="430" t="s">
        <v>1027</v>
      </c>
      <c r="B210" s="431">
        <v>168.95</v>
      </c>
      <c r="C210" s="432" t="s">
        <v>1028</v>
      </c>
      <c r="D210" s="436"/>
      <c r="E210" s="434" t="s">
        <v>699</v>
      </c>
      <c r="F210" s="435">
        <v>4500000043</v>
      </c>
    </row>
    <row r="211" spans="1:9" hidden="1">
      <c r="A211" s="430" t="s">
        <v>1029</v>
      </c>
      <c r="B211" s="431">
        <v>30.47</v>
      </c>
      <c r="C211" s="432" t="s">
        <v>1030</v>
      </c>
      <c r="D211" s="436"/>
      <c r="E211" s="434" t="s">
        <v>699</v>
      </c>
      <c r="F211" s="435">
        <v>4500000043</v>
      </c>
    </row>
    <row r="212" spans="1:9" hidden="1">
      <c r="A212" s="430" t="s">
        <v>824</v>
      </c>
      <c r="B212" s="431">
        <v>123</v>
      </c>
      <c r="C212" s="432" t="s">
        <v>825</v>
      </c>
      <c r="D212" s="436"/>
      <c r="E212" s="434" t="s">
        <v>699</v>
      </c>
      <c r="F212" s="435">
        <v>4500000043</v>
      </c>
    </row>
    <row r="213" spans="1:9" hidden="1">
      <c r="A213" s="430" t="s">
        <v>1031</v>
      </c>
      <c r="B213" s="431"/>
      <c r="C213" s="432" t="s">
        <v>1032</v>
      </c>
      <c r="D213" s="436"/>
      <c r="E213" s="434" t="s">
        <v>699</v>
      </c>
      <c r="F213" s="435">
        <v>4500000043</v>
      </c>
    </row>
    <row r="214" spans="1:9" hidden="1">
      <c r="A214" s="430" t="s">
        <v>905</v>
      </c>
      <c r="B214" s="431">
        <v>50.11</v>
      </c>
      <c r="C214" s="432" t="s">
        <v>906</v>
      </c>
      <c r="D214" s="436"/>
      <c r="E214" s="434" t="s">
        <v>699</v>
      </c>
      <c r="F214" s="435">
        <v>4500000043</v>
      </c>
    </row>
    <row r="215" spans="1:9" hidden="1">
      <c r="A215" s="430" t="s">
        <v>1033</v>
      </c>
      <c r="B215" s="431">
        <v>14.3</v>
      </c>
      <c r="C215" s="432" t="s">
        <v>1034</v>
      </c>
      <c r="D215" s="436"/>
      <c r="E215" s="434" t="s">
        <v>699</v>
      </c>
      <c r="F215" s="435">
        <v>4500000043</v>
      </c>
      <c r="I215" s="457"/>
    </row>
  </sheetData>
  <autoFilter ref="A1:J215">
    <filterColumn colId="3">
      <filters>
        <filter val="SUNWAYS(INDIA)PVT LTD"/>
      </filters>
    </filterColumn>
  </autoFilter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Y143"/>
  <sheetViews>
    <sheetView topLeftCell="A50" zoomScale="40" zoomScaleNormal="40" workbookViewId="0">
      <selection activeCell="C58" sqref="C58"/>
    </sheetView>
  </sheetViews>
  <sheetFormatPr defaultColWidth="9.140625" defaultRowHeight="60.75"/>
  <cols>
    <col min="1" max="1" width="19.140625" style="376" customWidth="1"/>
    <col min="2" max="2" width="234" style="376" customWidth="1"/>
    <col min="3" max="3" width="198" style="376" customWidth="1"/>
    <col min="4" max="4" width="30.140625" style="377" customWidth="1"/>
    <col min="5" max="5" width="30.5703125" style="376" customWidth="1"/>
    <col min="6" max="6" width="86.5703125" style="378" customWidth="1"/>
    <col min="7" max="7" width="113.7109375" style="379" customWidth="1"/>
    <col min="8" max="8" width="255.7109375" style="376" customWidth="1"/>
    <col min="9" max="9" width="169.140625" style="376" customWidth="1"/>
    <col min="10" max="10" width="75.7109375" style="376" customWidth="1"/>
    <col min="11" max="21" width="9.140625" style="376"/>
    <col min="22" max="22" width="47.7109375" style="380" customWidth="1"/>
    <col min="23" max="23" width="118.42578125" style="376" customWidth="1"/>
    <col min="24" max="24" width="61.42578125" style="376" customWidth="1"/>
    <col min="25" max="25" width="88.5703125" style="376" customWidth="1"/>
    <col min="26" max="16384" width="9.140625" style="376"/>
  </cols>
  <sheetData>
    <row r="1" spans="1:25" ht="90.75">
      <c r="A1" s="381"/>
      <c r="B1" s="594" t="s">
        <v>1035</v>
      </c>
      <c r="C1" s="595"/>
      <c r="D1" s="595"/>
      <c r="E1" s="595"/>
      <c r="F1" s="595"/>
      <c r="G1" s="382"/>
      <c r="H1" s="381"/>
      <c r="I1" s="381"/>
      <c r="V1" s="404"/>
    </row>
    <row r="2" spans="1:25" ht="90.75">
      <c r="A2" s="381"/>
      <c r="B2" s="383" t="s">
        <v>1036</v>
      </c>
      <c r="C2" s="383" t="s">
        <v>1037</v>
      </c>
      <c r="D2" s="383"/>
      <c r="E2" s="383"/>
      <c r="F2" s="384"/>
      <c r="G2" s="384"/>
      <c r="H2" s="385"/>
      <c r="I2" s="401"/>
      <c r="J2" s="402"/>
      <c r="U2" s="405"/>
      <c r="V2" s="406" t="s">
        <v>1038</v>
      </c>
      <c r="W2" s="406" t="s">
        <v>1039</v>
      </c>
      <c r="X2" s="407">
        <v>5300038</v>
      </c>
      <c r="Y2" s="407" t="s">
        <v>1040</v>
      </c>
    </row>
    <row r="3" spans="1:25" ht="90.75">
      <c r="A3" s="381"/>
      <c r="B3" s="383" t="s">
        <v>1041</v>
      </c>
      <c r="C3" s="383" t="s">
        <v>1042</v>
      </c>
      <c r="D3" s="383"/>
      <c r="E3" s="383"/>
      <c r="F3" s="384"/>
      <c r="G3" s="384"/>
      <c r="H3" s="385"/>
      <c r="I3" s="401"/>
      <c r="J3" s="402"/>
      <c r="U3" s="405"/>
      <c r="V3" s="406" t="s">
        <v>1043</v>
      </c>
      <c r="W3" s="406" t="s">
        <v>1044</v>
      </c>
    </row>
    <row r="4" spans="1:25" ht="90.75">
      <c r="A4" s="381"/>
      <c r="B4" s="383" t="s">
        <v>1045</v>
      </c>
      <c r="C4" s="383" t="s">
        <v>1046</v>
      </c>
      <c r="D4" s="383"/>
      <c r="E4" s="383"/>
      <c r="F4" s="384">
        <v>5300038</v>
      </c>
      <c r="G4" s="384"/>
      <c r="H4" s="385"/>
      <c r="I4" s="401"/>
      <c r="J4" s="402"/>
      <c r="U4" s="405"/>
      <c r="V4" s="406" t="s">
        <v>712</v>
      </c>
      <c r="W4" s="406" t="s">
        <v>1047</v>
      </c>
    </row>
    <row r="5" spans="1:25" ht="90.75">
      <c r="A5" s="381"/>
      <c r="B5" s="383" t="s">
        <v>1048</v>
      </c>
      <c r="C5" s="383" t="s">
        <v>1049</v>
      </c>
      <c r="D5" s="383"/>
      <c r="E5" s="383"/>
      <c r="F5" s="384"/>
      <c r="G5" s="384"/>
      <c r="H5" s="385"/>
      <c r="I5" s="401"/>
      <c r="J5" s="402"/>
      <c r="U5" s="405"/>
      <c r="V5" s="406" t="s">
        <v>699</v>
      </c>
      <c r="W5" s="406" t="s">
        <v>1050</v>
      </c>
    </row>
    <row r="6" spans="1:25" ht="90.75">
      <c r="A6" s="381"/>
      <c r="B6" s="383" t="s">
        <v>1051</v>
      </c>
      <c r="C6" s="383" t="s">
        <v>1052</v>
      </c>
      <c r="D6" s="386"/>
      <c r="E6" s="386"/>
      <c r="F6" s="384"/>
      <c r="G6" s="384"/>
      <c r="H6" s="385"/>
      <c r="I6" s="401"/>
      <c r="J6" s="402"/>
      <c r="U6" s="405"/>
      <c r="V6" s="406" t="s">
        <v>1053</v>
      </c>
      <c r="W6" s="406" t="s">
        <v>1054</v>
      </c>
    </row>
    <row r="7" spans="1:25">
      <c r="A7" s="387" t="s">
        <v>112</v>
      </c>
      <c r="B7" s="388" t="s">
        <v>1055</v>
      </c>
      <c r="C7" s="387" t="s">
        <v>1056</v>
      </c>
      <c r="D7" s="385" t="s">
        <v>1057</v>
      </c>
      <c r="E7" s="385" t="s">
        <v>691</v>
      </c>
      <c r="F7" s="385" t="s">
        <v>691</v>
      </c>
      <c r="G7" s="385" t="s">
        <v>1058</v>
      </c>
      <c r="H7" s="385" t="s">
        <v>1059</v>
      </c>
      <c r="I7" s="385" t="s">
        <v>1060</v>
      </c>
      <c r="U7" s="405"/>
    </row>
    <row r="8" spans="1:25">
      <c r="A8" s="389">
        <v>1</v>
      </c>
      <c r="B8" s="390" t="s">
        <v>697</v>
      </c>
      <c r="C8" s="387" t="s">
        <v>696</v>
      </c>
      <c r="D8" s="385"/>
      <c r="E8" s="385" t="s">
        <v>699</v>
      </c>
      <c r="F8" s="391" t="s">
        <v>1061</v>
      </c>
      <c r="G8" s="382"/>
      <c r="H8" s="392" t="s">
        <v>117</v>
      </c>
      <c r="I8" s="382"/>
      <c r="U8" s="405"/>
    </row>
    <row r="9" spans="1:25">
      <c r="A9" s="389">
        <v>2</v>
      </c>
      <c r="B9" s="390" t="s">
        <v>701</v>
      </c>
      <c r="C9" s="387" t="s">
        <v>700</v>
      </c>
      <c r="D9" s="385"/>
      <c r="E9" s="385" t="s">
        <v>699</v>
      </c>
      <c r="F9" s="391" t="s">
        <v>1061</v>
      </c>
      <c r="G9" s="382"/>
      <c r="H9" s="392" t="s">
        <v>117</v>
      </c>
      <c r="I9" s="382"/>
      <c r="U9" s="405"/>
    </row>
    <row r="10" spans="1:25">
      <c r="A10" s="389">
        <v>3</v>
      </c>
      <c r="B10" s="387" t="s">
        <v>1062</v>
      </c>
      <c r="C10" s="387" t="s">
        <v>804</v>
      </c>
      <c r="D10" s="393">
        <v>36.369999999999997</v>
      </c>
      <c r="E10" s="385" t="s">
        <v>699</v>
      </c>
      <c r="F10" s="391" t="s">
        <v>1061</v>
      </c>
      <c r="G10" s="382">
        <v>4500000043</v>
      </c>
      <c r="H10" s="381"/>
      <c r="I10" s="401"/>
      <c r="U10" s="405"/>
    </row>
    <row r="11" spans="1:25">
      <c r="A11" s="389">
        <v>4</v>
      </c>
      <c r="B11" s="387" t="s">
        <v>1034</v>
      </c>
      <c r="C11" s="387" t="s">
        <v>1033</v>
      </c>
      <c r="D11" s="393">
        <v>14.3</v>
      </c>
      <c r="E11" s="385" t="s">
        <v>699</v>
      </c>
      <c r="F11" s="391" t="s">
        <v>1061</v>
      </c>
      <c r="G11" s="382">
        <v>4500000043</v>
      </c>
      <c r="H11" s="381"/>
      <c r="I11" s="401"/>
      <c r="U11" s="405"/>
    </row>
    <row r="12" spans="1:25">
      <c r="A12" s="389">
        <v>5</v>
      </c>
      <c r="B12" s="387" t="s">
        <v>704</v>
      </c>
      <c r="C12" s="387" t="s">
        <v>702</v>
      </c>
      <c r="D12" s="385" t="s">
        <v>703</v>
      </c>
      <c r="E12" s="385" t="s">
        <v>699</v>
      </c>
      <c r="F12" s="391" t="s">
        <v>1061</v>
      </c>
      <c r="G12" s="382"/>
      <c r="H12" s="392" t="s">
        <v>117</v>
      </c>
      <c r="I12" s="401"/>
      <c r="U12" s="405"/>
    </row>
    <row r="13" spans="1:25">
      <c r="A13" s="389">
        <v>6</v>
      </c>
      <c r="B13" s="387" t="s">
        <v>74</v>
      </c>
      <c r="C13" s="387" t="s">
        <v>846</v>
      </c>
      <c r="D13" s="393">
        <v>16</v>
      </c>
      <c r="E13" s="385" t="s">
        <v>699</v>
      </c>
      <c r="F13" s="391" t="s">
        <v>1061</v>
      </c>
      <c r="G13" s="382">
        <v>4500000043</v>
      </c>
      <c r="H13" s="381"/>
      <c r="I13" s="403">
        <v>30067000</v>
      </c>
    </row>
    <row r="14" spans="1:25">
      <c r="A14" s="389">
        <v>7</v>
      </c>
      <c r="B14" s="387" t="s">
        <v>1063</v>
      </c>
      <c r="C14" s="387" t="s">
        <v>1025</v>
      </c>
      <c r="D14" s="385"/>
      <c r="E14" s="385" t="s">
        <v>699</v>
      </c>
      <c r="F14" s="391" t="s">
        <v>1061</v>
      </c>
      <c r="G14" s="382">
        <v>4500000048</v>
      </c>
      <c r="H14" s="381"/>
      <c r="I14" s="403">
        <v>30067000</v>
      </c>
    </row>
    <row r="15" spans="1:25">
      <c r="A15" s="389">
        <v>8</v>
      </c>
      <c r="B15" s="387" t="s">
        <v>53</v>
      </c>
      <c r="C15" s="387" t="s">
        <v>904</v>
      </c>
      <c r="D15" s="393">
        <v>4</v>
      </c>
      <c r="E15" s="385">
        <v>99</v>
      </c>
      <c r="F15" s="391" t="s">
        <v>1061</v>
      </c>
      <c r="G15" s="382" t="s">
        <v>1064</v>
      </c>
      <c r="H15" s="381"/>
      <c r="I15" s="401"/>
    </row>
    <row r="16" spans="1:25">
      <c r="A16" s="389">
        <v>9</v>
      </c>
      <c r="B16" s="387" t="s">
        <v>1028</v>
      </c>
      <c r="C16" s="387" t="s">
        <v>1027</v>
      </c>
      <c r="D16" s="393">
        <v>168.95</v>
      </c>
      <c r="E16" s="385" t="s">
        <v>699</v>
      </c>
      <c r="F16" s="391" t="s">
        <v>1061</v>
      </c>
      <c r="G16" s="382">
        <v>4500000043</v>
      </c>
      <c r="H16" s="381"/>
      <c r="I16" s="401"/>
    </row>
    <row r="17" spans="1:10">
      <c r="A17" s="389">
        <v>10</v>
      </c>
      <c r="B17" s="387" t="s">
        <v>710</v>
      </c>
      <c r="C17" s="387" t="s">
        <v>709</v>
      </c>
      <c r="D17" s="393">
        <v>40</v>
      </c>
      <c r="E17" s="385" t="s">
        <v>712</v>
      </c>
      <c r="F17" s="394" t="s">
        <v>1065</v>
      </c>
      <c r="G17" s="382">
        <v>4500000043</v>
      </c>
      <c r="H17" s="382" t="s">
        <v>1066</v>
      </c>
      <c r="I17" s="401"/>
    </row>
    <row r="18" spans="1:10">
      <c r="A18" s="389">
        <v>11</v>
      </c>
      <c r="B18" s="387" t="s">
        <v>733</v>
      </c>
      <c r="C18" s="387" t="s">
        <v>732</v>
      </c>
      <c r="D18" s="393">
        <v>20.36</v>
      </c>
      <c r="E18" s="385" t="s">
        <v>699</v>
      </c>
      <c r="F18" s="391" t="s">
        <v>1061</v>
      </c>
      <c r="G18" s="382"/>
      <c r="H18" s="392" t="s">
        <v>1067</v>
      </c>
      <c r="I18" s="403">
        <v>30067000</v>
      </c>
    </row>
    <row r="19" spans="1:10">
      <c r="A19" s="389">
        <v>12</v>
      </c>
      <c r="B19" s="387" t="s">
        <v>1030</v>
      </c>
      <c r="C19" s="387" t="s">
        <v>1029</v>
      </c>
      <c r="D19" s="393">
        <v>30.47</v>
      </c>
      <c r="E19" s="385" t="s">
        <v>699</v>
      </c>
      <c r="F19" s="391" t="s">
        <v>1061</v>
      </c>
      <c r="G19" s="382">
        <v>4500000043</v>
      </c>
      <c r="H19" s="381"/>
      <c r="I19" s="401"/>
    </row>
    <row r="20" spans="1:10">
      <c r="A20" s="389">
        <v>13</v>
      </c>
      <c r="B20" s="387" t="s">
        <v>774</v>
      </c>
      <c r="C20" s="387" t="s">
        <v>773</v>
      </c>
      <c r="D20" s="385"/>
      <c r="E20" s="385" t="s">
        <v>699</v>
      </c>
      <c r="F20" s="391" t="s">
        <v>1061</v>
      </c>
      <c r="G20" s="382"/>
      <c r="H20" s="392" t="s">
        <v>775</v>
      </c>
      <c r="I20" s="401"/>
    </row>
    <row r="21" spans="1:10">
      <c r="A21" s="389">
        <v>14</v>
      </c>
      <c r="B21" s="387" t="s">
        <v>1068</v>
      </c>
      <c r="C21" s="387" t="s">
        <v>896</v>
      </c>
      <c r="D21" s="393">
        <v>66.28</v>
      </c>
      <c r="E21" s="385" t="s">
        <v>699</v>
      </c>
      <c r="F21" s="391" t="s">
        <v>1061</v>
      </c>
      <c r="G21" s="382">
        <v>4500000043</v>
      </c>
      <c r="H21" s="381"/>
      <c r="I21" s="401"/>
      <c r="J21" s="376" t="s">
        <v>1069</v>
      </c>
    </row>
    <row r="22" spans="1:10">
      <c r="A22" s="389">
        <v>15</v>
      </c>
      <c r="B22" s="395" t="s">
        <v>753</v>
      </c>
      <c r="C22" s="395" t="s">
        <v>1070</v>
      </c>
      <c r="D22" s="393">
        <v>63</v>
      </c>
      <c r="E22" s="385" t="s">
        <v>699</v>
      </c>
      <c r="F22" s="391" t="s">
        <v>1061</v>
      </c>
      <c r="G22" s="382"/>
      <c r="H22" s="392" t="s">
        <v>136</v>
      </c>
      <c r="I22" s="382" t="s">
        <v>1071</v>
      </c>
      <c r="J22" s="382" t="s">
        <v>1066</v>
      </c>
    </row>
    <row r="23" spans="1:10">
      <c r="A23" s="389">
        <v>16</v>
      </c>
      <c r="B23" s="387" t="s">
        <v>755</v>
      </c>
      <c r="C23" s="387" t="s">
        <v>754</v>
      </c>
      <c r="D23" s="385"/>
      <c r="E23" s="385" t="s">
        <v>699</v>
      </c>
      <c r="F23" s="391" t="s">
        <v>1061</v>
      </c>
      <c r="G23" s="382"/>
      <c r="H23" s="392" t="s">
        <v>136</v>
      </c>
      <c r="I23" s="382"/>
    </row>
    <row r="24" spans="1:10">
      <c r="A24" s="389">
        <v>17</v>
      </c>
      <c r="B24" s="387" t="s">
        <v>757</v>
      </c>
      <c r="C24" s="387" t="s">
        <v>756</v>
      </c>
      <c r="D24" s="385"/>
      <c r="E24" s="385" t="s">
        <v>699</v>
      </c>
      <c r="F24" s="391" t="s">
        <v>1061</v>
      </c>
      <c r="G24" s="382"/>
      <c r="H24" s="392" t="s">
        <v>136</v>
      </c>
      <c r="I24" s="382"/>
    </row>
    <row r="25" spans="1:10">
      <c r="A25" s="389">
        <v>18</v>
      </c>
      <c r="B25" s="387" t="s">
        <v>736</v>
      </c>
      <c r="C25" s="387" t="s">
        <v>735</v>
      </c>
      <c r="D25" s="385"/>
      <c r="E25" s="385" t="s">
        <v>699</v>
      </c>
      <c r="F25" s="391" t="s">
        <v>1061</v>
      </c>
      <c r="G25" s="382"/>
      <c r="H25" s="392" t="s">
        <v>1072</v>
      </c>
      <c r="I25" s="382"/>
    </row>
    <row r="26" spans="1:10">
      <c r="A26" s="389">
        <v>19</v>
      </c>
      <c r="B26" s="387" t="s">
        <v>908</v>
      </c>
      <c r="C26" s="387" t="s">
        <v>907</v>
      </c>
      <c r="D26" s="393">
        <v>15</v>
      </c>
      <c r="E26" s="385" t="s">
        <v>807</v>
      </c>
      <c r="F26" s="396" t="s">
        <v>1073</v>
      </c>
      <c r="G26" s="382">
        <v>4500000043</v>
      </c>
      <c r="H26" s="381"/>
      <c r="I26" s="382"/>
    </row>
    <row r="27" spans="1:10">
      <c r="A27" s="389">
        <v>20</v>
      </c>
      <c r="B27" s="387" t="s">
        <v>891</v>
      </c>
      <c r="C27" s="387" t="s">
        <v>890</v>
      </c>
      <c r="D27" s="393">
        <v>120</v>
      </c>
      <c r="E27" s="385" t="s">
        <v>856</v>
      </c>
      <c r="F27" s="397" t="s">
        <v>1074</v>
      </c>
      <c r="G27" s="382">
        <v>4500000043</v>
      </c>
      <c r="H27" s="381"/>
      <c r="I27" s="382"/>
    </row>
    <row r="28" spans="1:10">
      <c r="A28" s="389">
        <v>21</v>
      </c>
      <c r="B28" s="387" t="s">
        <v>825</v>
      </c>
      <c r="C28" s="387" t="s">
        <v>824</v>
      </c>
      <c r="D28" s="393">
        <v>123</v>
      </c>
      <c r="E28" s="385" t="s">
        <v>699</v>
      </c>
      <c r="F28" s="391" t="s">
        <v>1061</v>
      </c>
      <c r="G28" s="382">
        <v>4500000043</v>
      </c>
      <c r="H28" s="382" t="s">
        <v>1075</v>
      </c>
      <c r="I28" s="382"/>
    </row>
    <row r="29" spans="1:10">
      <c r="A29" s="389">
        <v>22</v>
      </c>
      <c r="B29" s="387" t="s">
        <v>739</v>
      </c>
      <c r="C29" s="387" t="s">
        <v>738</v>
      </c>
      <c r="D29" s="393">
        <v>15.2</v>
      </c>
      <c r="E29" s="385" t="s">
        <v>699</v>
      </c>
      <c r="F29" s="391" t="s">
        <v>1061</v>
      </c>
      <c r="G29" s="382"/>
      <c r="H29" s="392" t="s">
        <v>166</v>
      </c>
      <c r="I29" s="382"/>
    </row>
    <row r="30" spans="1:10">
      <c r="A30" s="389">
        <v>23</v>
      </c>
      <c r="B30" s="387" t="s">
        <v>741</v>
      </c>
      <c r="C30" s="387" t="s">
        <v>740</v>
      </c>
      <c r="D30" s="385"/>
      <c r="E30" s="385" t="s">
        <v>699</v>
      </c>
      <c r="F30" s="391" t="s">
        <v>1061</v>
      </c>
      <c r="G30" s="382"/>
      <c r="H30" s="392" t="s">
        <v>166</v>
      </c>
      <c r="I30" s="382"/>
    </row>
    <row r="31" spans="1:10">
      <c r="A31" s="389">
        <v>24</v>
      </c>
      <c r="B31" s="387" t="s">
        <v>795</v>
      </c>
      <c r="C31" s="387" t="s">
        <v>794</v>
      </c>
      <c r="D31" s="385"/>
      <c r="E31" s="385" t="s">
        <v>699</v>
      </c>
      <c r="F31" s="391" t="s">
        <v>1061</v>
      </c>
      <c r="G31" s="382"/>
      <c r="H31" s="392" t="s">
        <v>796</v>
      </c>
      <c r="I31" s="382"/>
    </row>
    <row r="32" spans="1:10">
      <c r="A32" s="389">
        <v>25</v>
      </c>
      <c r="B32" s="387" t="s">
        <v>1076</v>
      </c>
      <c r="C32" s="387" t="s">
        <v>1031</v>
      </c>
      <c r="D32" s="385"/>
      <c r="E32" s="385" t="s">
        <v>699</v>
      </c>
      <c r="F32" s="391" t="s">
        <v>1061</v>
      </c>
      <c r="G32" s="382">
        <v>4500000043</v>
      </c>
      <c r="H32" s="381"/>
      <c r="I32" s="403">
        <v>30067000</v>
      </c>
    </row>
    <row r="33" spans="1:10">
      <c r="A33" s="389">
        <v>26</v>
      </c>
      <c r="B33" s="387" t="s">
        <v>1077</v>
      </c>
      <c r="C33" s="387" t="s">
        <v>914</v>
      </c>
      <c r="D33" s="393">
        <v>45.25</v>
      </c>
      <c r="E33" s="385" t="s">
        <v>699</v>
      </c>
      <c r="F33" s="391" t="s">
        <v>1061</v>
      </c>
      <c r="G33" s="382">
        <v>4500000043</v>
      </c>
      <c r="H33" s="382" t="s">
        <v>1066</v>
      </c>
      <c r="I33" s="382"/>
    </row>
    <row r="34" spans="1:10">
      <c r="A34" s="389">
        <v>27</v>
      </c>
      <c r="B34" s="387" t="s">
        <v>906</v>
      </c>
      <c r="C34" s="387" t="s">
        <v>905</v>
      </c>
      <c r="D34" s="393">
        <v>50.11</v>
      </c>
      <c r="E34" s="385" t="s">
        <v>699</v>
      </c>
      <c r="F34" s="391" t="s">
        <v>1061</v>
      </c>
      <c r="G34" s="382">
        <v>4500000043</v>
      </c>
      <c r="H34" s="381"/>
      <c r="I34" s="403">
        <v>30067000</v>
      </c>
    </row>
    <row r="35" spans="1:10">
      <c r="A35" s="389">
        <v>28</v>
      </c>
      <c r="B35" s="387" t="s">
        <v>1078</v>
      </c>
      <c r="C35" s="387" t="s">
        <v>849</v>
      </c>
      <c r="D35" s="385"/>
      <c r="E35" s="385">
        <v>99</v>
      </c>
      <c r="F35" s="398" t="s">
        <v>1079</v>
      </c>
      <c r="G35" s="382"/>
      <c r="H35" s="392" t="s">
        <v>851</v>
      </c>
      <c r="I35" s="382"/>
    </row>
    <row r="36" spans="1:10">
      <c r="A36" s="389">
        <v>29</v>
      </c>
      <c r="B36" s="387" t="s">
        <v>764</v>
      </c>
      <c r="C36" s="387" t="s">
        <v>763</v>
      </c>
      <c r="D36" s="385"/>
      <c r="E36" s="385" t="s">
        <v>699</v>
      </c>
      <c r="F36" s="391" t="s">
        <v>1061</v>
      </c>
      <c r="G36" s="382">
        <v>30043990</v>
      </c>
      <c r="H36" s="392" t="s">
        <v>765</v>
      </c>
      <c r="I36" s="382"/>
      <c r="J36" s="392"/>
    </row>
    <row r="37" spans="1:10">
      <c r="A37" s="389">
        <v>30</v>
      </c>
      <c r="B37" s="387" t="s">
        <v>1080</v>
      </c>
      <c r="C37" s="387" t="s">
        <v>713</v>
      </c>
      <c r="D37" s="393">
        <v>75.599999999999994</v>
      </c>
      <c r="E37" s="385" t="s">
        <v>699</v>
      </c>
      <c r="F37" s="391" t="s">
        <v>1061</v>
      </c>
      <c r="G37" s="382"/>
      <c r="H37" s="392" t="s">
        <v>1081</v>
      </c>
      <c r="I37" s="382"/>
    </row>
    <row r="38" spans="1:10">
      <c r="A38" s="389">
        <v>31</v>
      </c>
      <c r="B38" s="387" t="s">
        <v>1014</v>
      </c>
      <c r="C38" s="387" t="s">
        <v>1013</v>
      </c>
      <c r="D38" s="393">
        <v>169.8</v>
      </c>
      <c r="E38" s="385" t="s">
        <v>699</v>
      </c>
      <c r="F38" s="391" t="s">
        <v>1061</v>
      </c>
      <c r="G38" s="382">
        <v>4500000043</v>
      </c>
      <c r="H38" s="381"/>
      <c r="I38" s="382"/>
    </row>
    <row r="39" spans="1:10">
      <c r="A39" s="389">
        <v>32</v>
      </c>
      <c r="B39" s="387" t="s">
        <v>755</v>
      </c>
      <c r="C39" s="387" t="s">
        <v>1082</v>
      </c>
      <c r="D39" s="385"/>
      <c r="E39" s="385"/>
      <c r="F39" s="399"/>
      <c r="G39" s="382"/>
      <c r="H39" s="392" t="s">
        <v>762</v>
      </c>
      <c r="I39" s="382"/>
    </row>
    <row r="40" spans="1:10">
      <c r="A40" s="389">
        <v>33</v>
      </c>
      <c r="B40" s="387" t="s">
        <v>757</v>
      </c>
      <c r="C40" s="387" t="s">
        <v>1083</v>
      </c>
      <c r="D40" s="385"/>
      <c r="E40" s="385"/>
      <c r="F40" s="399"/>
      <c r="G40" s="382"/>
      <c r="H40" s="392" t="s">
        <v>762</v>
      </c>
      <c r="I40" s="382"/>
    </row>
    <row r="41" spans="1:10">
      <c r="A41" s="389">
        <v>34</v>
      </c>
      <c r="B41" s="387" t="s">
        <v>1016</v>
      </c>
      <c r="C41" s="387" t="s">
        <v>1015</v>
      </c>
      <c r="D41" s="393">
        <v>140</v>
      </c>
      <c r="E41" s="385" t="s">
        <v>807</v>
      </c>
      <c r="F41" s="396" t="s">
        <v>1073</v>
      </c>
      <c r="G41" s="382">
        <v>4500000043</v>
      </c>
      <c r="H41" s="382" t="s">
        <v>1066</v>
      </c>
      <c r="I41" s="382"/>
    </row>
    <row r="42" spans="1:10">
      <c r="A42" s="389">
        <v>35</v>
      </c>
      <c r="B42" s="387" t="s">
        <v>1018</v>
      </c>
      <c r="C42" s="387" t="s">
        <v>1017</v>
      </c>
      <c r="D42" s="393">
        <v>167.28</v>
      </c>
      <c r="E42" s="385" t="s">
        <v>699</v>
      </c>
      <c r="F42" s="391" t="s">
        <v>1061</v>
      </c>
      <c r="G42" s="382">
        <v>4500000043</v>
      </c>
      <c r="H42" s="381"/>
      <c r="I42" s="382"/>
    </row>
    <row r="43" spans="1:10">
      <c r="A43" s="389">
        <v>36</v>
      </c>
      <c r="B43" s="387" t="s">
        <v>1084</v>
      </c>
      <c r="C43" s="387" t="s">
        <v>809</v>
      </c>
      <c r="D43" s="393">
        <v>168.94</v>
      </c>
      <c r="E43" s="385" t="s">
        <v>699</v>
      </c>
      <c r="F43" s="391" t="s">
        <v>1061</v>
      </c>
      <c r="G43" s="382">
        <v>4500000043</v>
      </c>
      <c r="H43" s="392" t="s">
        <v>366</v>
      </c>
      <c r="I43" s="382"/>
    </row>
    <row r="44" spans="1:10">
      <c r="A44" s="389">
        <v>37</v>
      </c>
      <c r="B44" s="387" t="s">
        <v>812</v>
      </c>
      <c r="C44" s="387" t="s">
        <v>811</v>
      </c>
      <c r="D44" s="393">
        <v>0.01</v>
      </c>
      <c r="E44" s="385" t="s">
        <v>699</v>
      </c>
      <c r="F44" s="391" t="s">
        <v>1061</v>
      </c>
      <c r="G44" s="382">
        <v>4500000043</v>
      </c>
      <c r="H44" s="392" t="s">
        <v>366</v>
      </c>
      <c r="I44" s="382"/>
    </row>
    <row r="45" spans="1:10">
      <c r="A45" s="389">
        <v>38</v>
      </c>
      <c r="B45" s="395" t="s">
        <v>745</v>
      </c>
      <c r="C45" s="395" t="s">
        <v>744</v>
      </c>
      <c r="D45" s="393">
        <v>165.5</v>
      </c>
      <c r="E45" s="385" t="s">
        <v>699</v>
      </c>
      <c r="F45" s="391" t="s">
        <v>1061</v>
      </c>
      <c r="G45" s="382"/>
      <c r="H45" s="392" t="s">
        <v>762</v>
      </c>
      <c r="I45" s="382" t="s">
        <v>889</v>
      </c>
    </row>
    <row r="46" spans="1:10">
      <c r="A46" s="389">
        <v>39</v>
      </c>
      <c r="B46" s="387" t="s">
        <v>748</v>
      </c>
      <c r="C46" s="387" t="s">
        <v>747</v>
      </c>
      <c r="D46" s="385"/>
      <c r="E46" s="385" t="s">
        <v>699</v>
      </c>
      <c r="F46" s="391" t="s">
        <v>1061</v>
      </c>
      <c r="G46" s="382"/>
      <c r="H46" s="392" t="s">
        <v>762</v>
      </c>
      <c r="I46" s="382"/>
    </row>
    <row r="47" spans="1:10">
      <c r="A47" s="389">
        <v>40</v>
      </c>
      <c r="B47" s="387" t="s">
        <v>783</v>
      </c>
      <c r="C47" s="387" t="s">
        <v>782</v>
      </c>
      <c r="D47" s="385"/>
      <c r="E47" s="385" t="s">
        <v>699</v>
      </c>
      <c r="F47" s="391" t="s">
        <v>1061</v>
      </c>
      <c r="G47" s="382"/>
      <c r="H47" s="392" t="s">
        <v>784</v>
      </c>
      <c r="I47" s="382"/>
    </row>
    <row r="48" spans="1:10">
      <c r="A48" s="389">
        <v>41</v>
      </c>
      <c r="B48" s="387" t="s">
        <v>786</v>
      </c>
      <c r="C48" s="387" t="s">
        <v>785</v>
      </c>
      <c r="D48" s="385"/>
      <c r="E48" s="385"/>
      <c r="F48" s="399"/>
      <c r="G48" s="382"/>
      <c r="H48" s="392" t="s">
        <v>787</v>
      </c>
      <c r="I48" s="382"/>
    </row>
    <row r="49" spans="1:9">
      <c r="A49" s="389">
        <v>42</v>
      </c>
      <c r="B49" s="387" t="s">
        <v>1085</v>
      </c>
      <c r="C49" s="387" t="s">
        <v>899</v>
      </c>
      <c r="D49" s="393">
        <v>66</v>
      </c>
      <c r="E49" s="385" t="s">
        <v>699</v>
      </c>
      <c r="F49" s="391" t="s">
        <v>1061</v>
      </c>
      <c r="G49" s="382">
        <v>4500000051</v>
      </c>
      <c r="H49" s="382" t="s">
        <v>889</v>
      </c>
      <c r="I49" s="382">
        <v>30049099</v>
      </c>
    </row>
    <row r="50" spans="1:9">
      <c r="A50" s="389">
        <v>43</v>
      </c>
      <c r="B50" s="387" t="s">
        <v>903</v>
      </c>
      <c r="C50" s="387" t="s">
        <v>902</v>
      </c>
      <c r="D50" s="393">
        <v>71</v>
      </c>
      <c r="E50" s="385" t="s">
        <v>699</v>
      </c>
      <c r="F50" s="391" t="s">
        <v>1061</v>
      </c>
      <c r="G50" s="382">
        <v>4500000043</v>
      </c>
      <c r="H50" s="382"/>
      <c r="I50" s="382"/>
    </row>
    <row r="51" spans="1:9">
      <c r="A51" s="389">
        <v>44</v>
      </c>
      <c r="B51" s="387" t="s">
        <v>1086</v>
      </c>
      <c r="C51" s="387" t="s">
        <v>1087</v>
      </c>
      <c r="D51" s="393">
        <v>28</v>
      </c>
      <c r="E51" s="385" t="s">
        <v>807</v>
      </c>
      <c r="F51" s="396" t="s">
        <v>1073</v>
      </c>
      <c r="G51" s="382">
        <v>4500000043</v>
      </c>
      <c r="H51" s="382" t="s">
        <v>889</v>
      </c>
      <c r="I51" s="382"/>
    </row>
    <row r="52" spans="1:9">
      <c r="A52" s="389">
        <v>45</v>
      </c>
      <c r="B52" s="387" t="s">
        <v>1020</v>
      </c>
      <c r="C52" s="387" t="s">
        <v>1019</v>
      </c>
      <c r="D52" s="385">
        <v>18</v>
      </c>
      <c r="E52" s="385" t="s">
        <v>807</v>
      </c>
      <c r="F52" s="396" t="s">
        <v>1073</v>
      </c>
      <c r="G52" s="382">
        <v>4500000043</v>
      </c>
      <c r="H52" s="382" t="s">
        <v>889</v>
      </c>
      <c r="I52" s="382"/>
    </row>
    <row r="53" spans="1:9">
      <c r="A53" s="389">
        <v>46</v>
      </c>
      <c r="B53" s="387" t="s">
        <v>789</v>
      </c>
      <c r="C53" s="387" t="s">
        <v>788</v>
      </c>
      <c r="D53" s="393">
        <v>160</v>
      </c>
      <c r="E53" s="385" t="s">
        <v>699</v>
      </c>
      <c r="F53" s="391" t="s">
        <v>1061</v>
      </c>
      <c r="G53" s="382"/>
      <c r="H53" s="392" t="s">
        <v>790</v>
      </c>
      <c r="I53" s="382"/>
    </row>
    <row r="54" spans="1:9">
      <c r="A54" s="389">
        <v>47</v>
      </c>
      <c r="B54" s="395" t="s">
        <v>750</v>
      </c>
      <c r="C54" s="395" t="s">
        <v>749</v>
      </c>
      <c r="D54" s="393">
        <v>17</v>
      </c>
      <c r="E54" s="385" t="s">
        <v>699</v>
      </c>
      <c r="F54" s="391" t="s">
        <v>1061</v>
      </c>
      <c r="G54" s="382"/>
      <c r="H54" s="392" t="s">
        <v>762</v>
      </c>
      <c r="I54" s="382" t="s">
        <v>889</v>
      </c>
    </row>
    <row r="55" spans="1:9">
      <c r="A55" s="389">
        <v>48</v>
      </c>
      <c r="B55" s="395" t="s">
        <v>759</v>
      </c>
      <c r="C55" s="395" t="s">
        <v>758</v>
      </c>
      <c r="D55" s="385"/>
      <c r="E55" s="385" t="s">
        <v>699</v>
      </c>
      <c r="F55" s="391" t="s">
        <v>1061</v>
      </c>
      <c r="G55" s="382"/>
      <c r="H55" s="392" t="s">
        <v>746</v>
      </c>
      <c r="I55" s="382"/>
    </row>
    <row r="56" spans="1:9">
      <c r="A56" s="389">
        <v>49</v>
      </c>
      <c r="B56" s="387" t="s">
        <v>1022</v>
      </c>
      <c r="C56" s="387" t="s">
        <v>1021</v>
      </c>
      <c r="D56" s="393">
        <v>15</v>
      </c>
      <c r="E56" s="385" t="s">
        <v>807</v>
      </c>
      <c r="F56" s="396" t="s">
        <v>1073</v>
      </c>
      <c r="G56" s="382">
        <v>4500000043</v>
      </c>
      <c r="H56" s="382"/>
      <c r="I56" s="382"/>
    </row>
    <row r="57" spans="1:9">
      <c r="A57" s="389">
        <v>50</v>
      </c>
      <c r="B57" s="387" t="s">
        <v>716</v>
      </c>
      <c r="C57" s="387" t="s">
        <v>715</v>
      </c>
      <c r="D57" s="393">
        <v>20.98</v>
      </c>
      <c r="E57" s="385" t="s">
        <v>699</v>
      </c>
      <c r="F57" s="391" t="s">
        <v>1061</v>
      </c>
      <c r="G57" s="382"/>
      <c r="H57" s="392" t="s">
        <v>711</v>
      </c>
      <c r="I57" s="382"/>
    </row>
    <row r="58" spans="1:9">
      <c r="A58" s="389">
        <v>51</v>
      </c>
      <c r="B58" s="387" t="s">
        <v>717</v>
      </c>
      <c r="C58" s="387" t="s">
        <v>713</v>
      </c>
      <c r="D58" s="385"/>
      <c r="E58" s="385"/>
      <c r="F58" s="399"/>
      <c r="G58" s="382"/>
      <c r="H58" s="392" t="s">
        <v>1088</v>
      </c>
      <c r="I58" s="382"/>
    </row>
    <row r="59" spans="1:9">
      <c r="A59" s="389">
        <v>52</v>
      </c>
      <c r="B59" s="387" t="s">
        <v>827</v>
      </c>
      <c r="C59" s="387" t="s">
        <v>826</v>
      </c>
      <c r="D59" s="393">
        <v>236.56</v>
      </c>
      <c r="E59" s="385" t="s">
        <v>699</v>
      </c>
      <c r="F59" s="391" t="s">
        <v>1061</v>
      </c>
      <c r="G59" s="382">
        <v>4500000043</v>
      </c>
      <c r="H59" s="382"/>
      <c r="I59" s="382"/>
    </row>
    <row r="60" spans="1:9">
      <c r="A60" s="389">
        <v>53</v>
      </c>
      <c r="B60" s="387" t="s">
        <v>739</v>
      </c>
      <c r="C60" s="387" t="s">
        <v>738</v>
      </c>
      <c r="D60" s="385"/>
      <c r="E60" s="385" t="s">
        <v>699</v>
      </c>
      <c r="F60" s="391" t="s">
        <v>1061</v>
      </c>
      <c r="G60" s="382"/>
      <c r="H60" s="392" t="s">
        <v>1072</v>
      </c>
      <c r="I60" s="382"/>
    </row>
    <row r="61" spans="1:9">
      <c r="A61" s="389">
        <v>54</v>
      </c>
      <c r="B61" s="387" t="s">
        <v>743</v>
      </c>
      <c r="C61" s="387" t="s">
        <v>742</v>
      </c>
      <c r="D61" s="385"/>
      <c r="E61" s="385" t="s">
        <v>699</v>
      </c>
      <c r="F61" s="391" t="s">
        <v>1061</v>
      </c>
      <c r="G61" s="382"/>
      <c r="H61" s="392" t="s">
        <v>1072</v>
      </c>
      <c r="I61" s="382">
        <v>30067000</v>
      </c>
    </row>
    <row r="62" spans="1:9" ht="90.75">
      <c r="A62" s="389">
        <v>55</v>
      </c>
      <c r="B62" s="387" t="s">
        <v>1089</v>
      </c>
      <c r="C62" s="387" t="s">
        <v>705</v>
      </c>
      <c r="D62" s="393">
        <v>19.8</v>
      </c>
      <c r="E62" s="385"/>
      <c r="F62" s="400" t="s">
        <v>1090</v>
      </c>
      <c r="G62" s="382">
        <v>4500000043</v>
      </c>
      <c r="H62" s="393" t="s">
        <v>698</v>
      </c>
      <c r="I62" s="382">
        <v>30049099</v>
      </c>
    </row>
    <row r="63" spans="1:9">
      <c r="A63" s="389">
        <v>56</v>
      </c>
      <c r="B63" s="387" t="s">
        <v>893</v>
      </c>
      <c r="C63" s="387" t="s">
        <v>892</v>
      </c>
      <c r="D63" s="393">
        <v>42.21</v>
      </c>
      <c r="E63" s="385" t="s">
        <v>699</v>
      </c>
      <c r="F63" s="391" t="s">
        <v>1061</v>
      </c>
      <c r="G63" s="382">
        <v>4500000043</v>
      </c>
      <c r="H63" s="382"/>
      <c r="I63" s="382"/>
    </row>
    <row r="64" spans="1:9">
      <c r="A64" s="389">
        <v>57</v>
      </c>
      <c r="B64" s="395" t="s">
        <v>761</v>
      </c>
      <c r="C64" s="395" t="s">
        <v>760</v>
      </c>
      <c r="D64" s="393">
        <v>583.5</v>
      </c>
      <c r="E64" s="385" t="s">
        <v>699</v>
      </c>
      <c r="F64" s="391" t="s">
        <v>1061</v>
      </c>
      <c r="G64" s="382"/>
      <c r="H64" s="393" t="s">
        <v>762</v>
      </c>
      <c r="I64" s="382"/>
    </row>
    <row r="65" spans="1:9">
      <c r="A65" s="389">
        <v>58</v>
      </c>
      <c r="B65" s="387" t="s">
        <v>66</v>
      </c>
      <c r="C65" s="387" t="s">
        <v>1023</v>
      </c>
      <c r="D65" s="393">
        <v>17</v>
      </c>
      <c r="E65" s="385" t="s">
        <v>807</v>
      </c>
      <c r="F65" s="396" t="s">
        <v>1073</v>
      </c>
      <c r="G65" s="382">
        <v>4500000043</v>
      </c>
      <c r="H65" s="408" t="s">
        <v>889</v>
      </c>
      <c r="I65" s="382"/>
    </row>
    <row r="66" spans="1:9">
      <c r="A66" s="389">
        <v>59</v>
      </c>
      <c r="B66" s="387" t="s">
        <v>822</v>
      </c>
      <c r="C66" s="387" t="s">
        <v>776</v>
      </c>
      <c r="D66" s="393">
        <v>140</v>
      </c>
      <c r="E66" s="385" t="s">
        <v>699</v>
      </c>
      <c r="F66" s="391" t="s">
        <v>1061</v>
      </c>
      <c r="G66" s="382">
        <v>4500000043</v>
      </c>
      <c r="H66" s="408" t="s">
        <v>889</v>
      </c>
      <c r="I66" s="382"/>
    </row>
    <row r="67" spans="1:9">
      <c r="A67" s="389">
        <v>60</v>
      </c>
      <c r="B67" s="387" t="s">
        <v>1091</v>
      </c>
      <c r="C67" s="387" t="s">
        <v>1008</v>
      </c>
      <c r="D67" s="393">
        <v>75</v>
      </c>
      <c r="E67" s="385" t="s">
        <v>699</v>
      </c>
      <c r="F67" s="391" t="s">
        <v>1061</v>
      </c>
      <c r="G67" s="382">
        <v>4500000043</v>
      </c>
      <c r="H67" s="382"/>
      <c r="I67" s="382"/>
    </row>
    <row r="68" spans="1:9">
      <c r="A68" s="389">
        <v>61</v>
      </c>
      <c r="B68" s="387" t="s">
        <v>803</v>
      </c>
      <c r="C68" s="387" t="s">
        <v>802</v>
      </c>
      <c r="D68" s="393">
        <v>34.56</v>
      </c>
      <c r="E68" s="385" t="s">
        <v>699</v>
      </c>
      <c r="F68" s="391" t="s">
        <v>1061</v>
      </c>
      <c r="G68" s="382"/>
      <c r="H68" s="393" t="s">
        <v>1092</v>
      </c>
      <c r="I68" s="382"/>
    </row>
    <row r="69" spans="1:9">
      <c r="A69" s="389">
        <v>62</v>
      </c>
      <c r="B69" s="387" t="s">
        <v>799</v>
      </c>
      <c r="C69" s="387" t="s">
        <v>707</v>
      </c>
      <c r="D69" s="393">
        <v>19.440000000000001</v>
      </c>
      <c r="E69" s="385" t="s">
        <v>699</v>
      </c>
      <c r="F69" s="391" t="s">
        <v>1061</v>
      </c>
      <c r="G69" s="382"/>
      <c r="H69" s="409" t="s">
        <v>1093</v>
      </c>
      <c r="I69" s="382" t="s">
        <v>1094</v>
      </c>
    </row>
    <row r="70" spans="1:9">
      <c r="A70" s="389">
        <v>63</v>
      </c>
      <c r="B70" s="387" t="s">
        <v>1007</v>
      </c>
      <c r="C70" s="387" t="s">
        <v>1006</v>
      </c>
      <c r="D70" s="393">
        <v>15</v>
      </c>
      <c r="E70" s="385" t="s">
        <v>807</v>
      </c>
      <c r="F70" s="396" t="s">
        <v>1073</v>
      </c>
      <c r="G70" s="382">
        <v>4500000043</v>
      </c>
      <c r="H70" s="408" t="s">
        <v>889</v>
      </c>
      <c r="I70" s="382"/>
    </row>
    <row r="71" spans="1:9">
      <c r="A71" s="389">
        <v>64</v>
      </c>
      <c r="B71" s="387" t="s">
        <v>872</v>
      </c>
      <c r="C71" s="387" t="s">
        <v>871</v>
      </c>
      <c r="D71" s="393">
        <v>14.65</v>
      </c>
      <c r="E71" s="385" t="s">
        <v>807</v>
      </c>
      <c r="F71" s="396" t="s">
        <v>1073</v>
      </c>
      <c r="G71" s="382">
        <v>4500000043</v>
      </c>
      <c r="H71" s="393" t="s">
        <v>1095</v>
      </c>
      <c r="I71" s="408" t="s">
        <v>889</v>
      </c>
    </row>
    <row r="72" spans="1:9">
      <c r="A72" s="389">
        <v>65</v>
      </c>
      <c r="B72" s="387" t="s">
        <v>1009</v>
      </c>
      <c r="C72" s="387" t="s">
        <v>1008</v>
      </c>
      <c r="D72" s="393"/>
      <c r="E72" s="381"/>
      <c r="F72" s="399"/>
      <c r="G72" s="382">
        <v>4500000043</v>
      </c>
      <c r="H72" s="382"/>
      <c r="I72" s="382"/>
    </row>
    <row r="73" spans="1:9">
      <c r="A73" s="389">
        <v>66</v>
      </c>
      <c r="B73" s="387" t="s">
        <v>866</v>
      </c>
      <c r="C73" s="387" t="s">
        <v>1010</v>
      </c>
      <c r="D73" s="393"/>
      <c r="E73" s="381"/>
      <c r="F73" s="399"/>
      <c r="G73" s="382">
        <v>4000008587</v>
      </c>
      <c r="H73" s="382"/>
      <c r="I73" s="382"/>
    </row>
    <row r="74" spans="1:9">
      <c r="A74" s="389">
        <v>67</v>
      </c>
      <c r="B74" s="387" t="s">
        <v>833</v>
      </c>
      <c r="C74" s="387" t="s">
        <v>832</v>
      </c>
      <c r="D74" s="393">
        <v>45</v>
      </c>
      <c r="E74" s="385" t="s">
        <v>699</v>
      </c>
      <c r="F74" s="391" t="s">
        <v>1061</v>
      </c>
      <c r="G74" s="382">
        <v>4500000043</v>
      </c>
      <c r="H74" s="382"/>
      <c r="I74" s="382"/>
    </row>
    <row r="75" spans="1:9">
      <c r="A75" s="389">
        <v>68</v>
      </c>
      <c r="B75" s="387" t="s">
        <v>1012</v>
      </c>
      <c r="C75" s="387" t="s">
        <v>1011</v>
      </c>
      <c r="D75" s="393"/>
      <c r="E75" s="385" t="s">
        <v>699</v>
      </c>
      <c r="F75" s="391" t="s">
        <v>1061</v>
      </c>
      <c r="G75" s="382">
        <v>4000008759</v>
      </c>
      <c r="H75" s="382"/>
      <c r="I75" s="382"/>
    </row>
    <row r="76" spans="1:9">
      <c r="A76" s="389">
        <v>69</v>
      </c>
      <c r="B76" s="387" t="s">
        <v>719</v>
      </c>
      <c r="C76" s="387" t="s">
        <v>823</v>
      </c>
      <c r="D76" s="393"/>
      <c r="E76" s="385" t="s">
        <v>699</v>
      </c>
      <c r="F76" s="391" t="s">
        <v>1061</v>
      </c>
      <c r="G76" s="382">
        <v>4000008588</v>
      </c>
      <c r="H76" s="410" t="s">
        <v>1096</v>
      </c>
      <c r="I76" s="382" t="s">
        <v>889</v>
      </c>
    </row>
    <row r="77" spans="1:9">
      <c r="A77" s="389">
        <v>70</v>
      </c>
      <c r="B77" s="387" t="s">
        <v>860</v>
      </c>
      <c r="C77" s="387" t="s">
        <v>859</v>
      </c>
      <c r="D77" s="393">
        <v>15</v>
      </c>
      <c r="E77" s="385" t="s">
        <v>699</v>
      </c>
      <c r="F77" s="391" t="s">
        <v>1061</v>
      </c>
      <c r="G77" s="382">
        <v>4000008837</v>
      </c>
      <c r="H77" s="410" t="s">
        <v>1097</v>
      </c>
      <c r="I77" s="382"/>
    </row>
    <row r="78" spans="1:9">
      <c r="A78" s="389">
        <v>71</v>
      </c>
      <c r="B78" s="387" t="s">
        <v>866</v>
      </c>
      <c r="C78" s="387" t="s">
        <v>865</v>
      </c>
      <c r="D78" s="393">
        <v>70.599999999999994</v>
      </c>
      <c r="E78" s="385" t="s">
        <v>699</v>
      </c>
      <c r="F78" s="391" t="s">
        <v>1061</v>
      </c>
      <c r="G78" s="382">
        <v>4000008587</v>
      </c>
      <c r="H78" s="382" t="s">
        <v>1066</v>
      </c>
      <c r="I78" s="382"/>
    </row>
    <row r="79" spans="1:9">
      <c r="A79" s="389">
        <v>72</v>
      </c>
      <c r="B79" s="387" t="s">
        <v>815</v>
      </c>
      <c r="C79" s="387" t="s">
        <v>813</v>
      </c>
      <c r="D79" s="393"/>
      <c r="E79" s="411" t="s">
        <v>856</v>
      </c>
      <c r="F79" s="412" t="s">
        <v>1074</v>
      </c>
      <c r="G79" s="382">
        <v>4500000043</v>
      </c>
      <c r="H79" s="381"/>
      <c r="I79" s="382"/>
    </row>
    <row r="80" spans="1:9">
      <c r="A80" s="389">
        <v>73</v>
      </c>
      <c r="B80" s="387" t="s">
        <v>719</v>
      </c>
      <c r="C80" s="387" t="s">
        <v>718</v>
      </c>
      <c r="D80" s="393"/>
      <c r="E80" s="385" t="s">
        <v>699</v>
      </c>
      <c r="F80" s="391" t="s">
        <v>1061</v>
      </c>
      <c r="G80" s="382"/>
      <c r="H80" s="410" t="s">
        <v>1098</v>
      </c>
      <c r="I80" s="382" t="s">
        <v>889</v>
      </c>
    </row>
    <row r="81" spans="1:9">
      <c r="A81" s="389">
        <v>74</v>
      </c>
      <c r="B81" s="387" t="s">
        <v>721</v>
      </c>
      <c r="C81" s="387" t="s">
        <v>720</v>
      </c>
      <c r="D81" s="393">
        <v>350</v>
      </c>
      <c r="E81" s="385" t="s">
        <v>699</v>
      </c>
      <c r="F81" s="391" t="s">
        <v>1061</v>
      </c>
      <c r="G81" s="382">
        <v>4500000043</v>
      </c>
      <c r="H81" s="385" t="s">
        <v>1099</v>
      </c>
      <c r="I81" s="382"/>
    </row>
    <row r="82" spans="1:9">
      <c r="A82" s="389">
        <v>75</v>
      </c>
      <c r="B82" s="387" t="s">
        <v>1100</v>
      </c>
      <c r="C82" s="387" t="s">
        <v>722</v>
      </c>
      <c r="D82" s="393"/>
      <c r="E82" s="385" t="s">
        <v>699</v>
      </c>
      <c r="F82" s="391" t="s">
        <v>1061</v>
      </c>
      <c r="G82" s="382"/>
      <c r="H82" s="392" t="s">
        <v>711</v>
      </c>
      <c r="I82" s="392"/>
    </row>
    <row r="83" spans="1:9">
      <c r="A83" s="389">
        <v>76</v>
      </c>
      <c r="B83" s="387" t="s">
        <v>725</v>
      </c>
      <c r="C83" s="387" t="s">
        <v>724</v>
      </c>
      <c r="D83" s="393"/>
      <c r="E83" s="385" t="s">
        <v>699</v>
      </c>
      <c r="F83" s="391" t="s">
        <v>1061</v>
      </c>
      <c r="G83" s="382"/>
      <c r="H83" s="392" t="s">
        <v>1101</v>
      </c>
      <c r="I83" s="382"/>
    </row>
    <row r="84" spans="1:9">
      <c r="A84" s="389">
        <v>77</v>
      </c>
      <c r="B84" s="387" t="s">
        <v>727</v>
      </c>
      <c r="C84" s="387" t="s">
        <v>726</v>
      </c>
      <c r="D84" s="393"/>
      <c r="E84" s="385" t="s">
        <v>699</v>
      </c>
      <c r="F84" s="391" t="s">
        <v>1061</v>
      </c>
      <c r="G84" s="382"/>
      <c r="H84" s="392" t="s">
        <v>711</v>
      </c>
      <c r="I84" s="382"/>
    </row>
    <row r="85" spans="1:9">
      <c r="A85" s="389">
        <v>78</v>
      </c>
      <c r="B85" s="387" t="s">
        <v>729</v>
      </c>
      <c r="C85" s="387" t="s">
        <v>728</v>
      </c>
      <c r="D85" s="393"/>
      <c r="E85" s="385" t="s">
        <v>699</v>
      </c>
      <c r="F85" s="391" t="s">
        <v>1061</v>
      </c>
      <c r="G85" s="382"/>
      <c r="H85" s="392" t="s">
        <v>711</v>
      </c>
      <c r="I85" s="382"/>
    </row>
    <row r="86" spans="1:9">
      <c r="A86" s="389">
        <v>79</v>
      </c>
      <c r="B86" s="387" t="s">
        <v>97</v>
      </c>
      <c r="C86" s="387" t="s">
        <v>873</v>
      </c>
      <c r="D86" s="393">
        <v>50.11</v>
      </c>
      <c r="E86" s="385" t="s">
        <v>699</v>
      </c>
      <c r="F86" s="391" t="s">
        <v>1061</v>
      </c>
      <c r="G86" s="382">
        <v>4000009071</v>
      </c>
      <c r="H86" s="392" t="s">
        <v>283</v>
      </c>
      <c r="I86" s="382"/>
    </row>
    <row r="87" spans="1:9">
      <c r="A87" s="389">
        <v>80</v>
      </c>
      <c r="B87" s="387" t="s">
        <v>829</v>
      </c>
      <c r="C87" s="387" t="s">
        <v>828</v>
      </c>
      <c r="D87" s="413"/>
      <c r="E87" s="385" t="s">
        <v>699</v>
      </c>
      <c r="F87" s="391" t="s">
        <v>1061</v>
      </c>
      <c r="G87" s="382"/>
      <c r="H87" s="392" t="s">
        <v>874</v>
      </c>
      <c r="I87" s="382"/>
    </row>
    <row r="88" spans="1:9">
      <c r="A88" s="389">
        <v>81</v>
      </c>
      <c r="B88" s="387" t="s">
        <v>1102</v>
      </c>
      <c r="C88" s="387" t="s">
        <v>730</v>
      </c>
      <c r="D88" s="413"/>
      <c r="E88" s="385" t="s">
        <v>699</v>
      </c>
      <c r="F88" s="391" t="s">
        <v>1061</v>
      </c>
      <c r="G88" s="382" t="s">
        <v>864</v>
      </c>
      <c r="H88" s="410" t="s">
        <v>1103</v>
      </c>
      <c r="I88" s="382"/>
    </row>
    <row r="89" spans="1:9">
      <c r="A89" s="389">
        <v>82</v>
      </c>
      <c r="B89" s="387" t="s">
        <v>767</v>
      </c>
      <c r="C89" s="387" t="s">
        <v>766</v>
      </c>
      <c r="D89" s="393">
        <v>89.7</v>
      </c>
      <c r="E89" s="385" t="s">
        <v>699</v>
      </c>
      <c r="F89" s="391" t="s">
        <v>1061</v>
      </c>
      <c r="H89" s="393" t="s">
        <v>765</v>
      </c>
      <c r="I89" s="382"/>
    </row>
    <row r="90" spans="1:9">
      <c r="A90" s="389">
        <v>83</v>
      </c>
      <c r="B90" s="387" t="s">
        <v>991</v>
      </c>
      <c r="C90" s="387" t="s">
        <v>990</v>
      </c>
      <c r="D90" s="413"/>
      <c r="E90" s="385" t="s">
        <v>699</v>
      </c>
      <c r="F90" s="391" t="s">
        <v>1061</v>
      </c>
      <c r="G90" s="382"/>
      <c r="H90" s="381"/>
      <c r="I90" s="382"/>
    </row>
    <row r="91" spans="1:9">
      <c r="A91" s="389">
        <v>84</v>
      </c>
      <c r="B91" s="387" t="s">
        <v>1104</v>
      </c>
      <c r="C91" s="387" t="s">
        <v>830</v>
      </c>
      <c r="D91" s="393" t="s">
        <v>814</v>
      </c>
      <c r="E91" s="385" t="s">
        <v>699</v>
      </c>
      <c r="F91" s="391" t="s">
        <v>1061</v>
      </c>
      <c r="G91" s="382"/>
      <c r="H91" s="381"/>
      <c r="I91" s="382"/>
    </row>
    <row r="92" spans="1:9">
      <c r="A92" s="389">
        <v>85</v>
      </c>
      <c r="B92" s="387" t="s">
        <v>1105</v>
      </c>
      <c r="C92" s="387" t="s">
        <v>992</v>
      </c>
      <c r="D92" s="393">
        <v>50</v>
      </c>
      <c r="E92" s="385" t="s">
        <v>699</v>
      </c>
      <c r="F92" s="391" t="s">
        <v>1061</v>
      </c>
      <c r="G92" s="382"/>
      <c r="H92" s="381"/>
      <c r="I92" s="382"/>
    </row>
    <row r="93" spans="1:9">
      <c r="A93" s="389">
        <v>86</v>
      </c>
      <c r="B93" s="387" t="s">
        <v>995</v>
      </c>
      <c r="C93" s="387" t="s">
        <v>994</v>
      </c>
      <c r="D93" s="413"/>
      <c r="E93" s="381"/>
      <c r="F93" s="399"/>
      <c r="G93" s="382"/>
      <c r="H93" s="392"/>
      <c r="I93" s="382"/>
    </row>
    <row r="94" spans="1:9">
      <c r="A94" s="389">
        <v>87</v>
      </c>
      <c r="B94" s="387" t="s">
        <v>1106</v>
      </c>
      <c r="C94" s="387" t="s">
        <v>996</v>
      </c>
      <c r="D94" s="413"/>
      <c r="E94" s="385" t="s">
        <v>699</v>
      </c>
      <c r="F94" s="391" t="s">
        <v>1061</v>
      </c>
      <c r="G94" s="382"/>
      <c r="H94" s="392"/>
      <c r="I94" s="382"/>
    </row>
    <row r="95" spans="1:9">
      <c r="A95" s="389">
        <v>88</v>
      </c>
      <c r="B95" s="387" t="s">
        <v>1107</v>
      </c>
      <c r="C95" s="387" t="s">
        <v>998</v>
      </c>
      <c r="D95" s="413"/>
      <c r="E95" s="381"/>
      <c r="F95" s="399"/>
      <c r="G95" s="382"/>
      <c r="H95" s="392"/>
      <c r="I95" s="382"/>
    </row>
    <row r="96" spans="1:9">
      <c r="A96" s="389">
        <v>89</v>
      </c>
      <c r="B96" s="387" t="s">
        <v>1108</v>
      </c>
      <c r="C96" s="387" t="s">
        <v>1000</v>
      </c>
      <c r="D96" s="413"/>
      <c r="E96" s="381"/>
      <c r="F96" s="399"/>
      <c r="G96" s="382"/>
      <c r="H96" s="392"/>
      <c r="I96" s="382"/>
    </row>
    <row r="97" spans="1:9">
      <c r="A97" s="389">
        <v>90</v>
      </c>
      <c r="B97" s="387" t="s">
        <v>1109</v>
      </c>
      <c r="C97" s="387" t="s">
        <v>1002</v>
      </c>
      <c r="D97" s="413"/>
      <c r="E97" s="381"/>
      <c r="F97" s="399"/>
      <c r="G97" s="382"/>
      <c r="H97" s="392"/>
      <c r="I97" s="382"/>
    </row>
    <row r="98" spans="1:9">
      <c r="A98" s="389">
        <v>91</v>
      </c>
      <c r="B98" s="387" t="s">
        <v>1110</v>
      </c>
      <c r="C98" s="387" t="s">
        <v>1004</v>
      </c>
      <c r="D98" s="413"/>
      <c r="E98" s="381"/>
      <c r="F98" s="399"/>
      <c r="G98" s="382"/>
      <c r="H98" s="392"/>
      <c r="I98" s="382"/>
    </row>
    <row r="99" spans="1:9">
      <c r="A99" s="389">
        <v>92</v>
      </c>
      <c r="B99" s="414" t="s">
        <v>1111</v>
      </c>
      <c r="C99" s="387" t="s">
        <v>780</v>
      </c>
      <c r="D99" s="393">
        <v>195</v>
      </c>
      <c r="E99" s="385" t="s">
        <v>699</v>
      </c>
      <c r="F99" s="391" t="s">
        <v>1061</v>
      </c>
      <c r="G99" s="382">
        <v>4000008888</v>
      </c>
      <c r="H99" s="392"/>
      <c r="I99" s="382"/>
    </row>
    <row r="100" spans="1:9">
      <c r="A100" s="389">
        <v>93</v>
      </c>
      <c r="B100" s="387" t="s">
        <v>819</v>
      </c>
      <c r="C100" s="387" t="s">
        <v>818</v>
      </c>
      <c r="D100" s="393">
        <v>40</v>
      </c>
      <c r="E100" s="385" t="s">
        <v>856</v>
      </c>
      <c r="F100" s="397" t="s">
        <v>1074</v>
      </c>
      <c r="G100" s="382">
        <v>4500000043</v>
      </c>
      <c r="H100" s="392"/>
      <c r="I100" s="382"/>
    </row>
    <row r="101" spans="1:9">
      <c r="A101" s="389">
        <v>94</v>
      </c>
      <c r="B101" s="414" t="s">
        <v>880</v>
      </c>
      <c r="C101" s="387" t="s">
        <v>879</v>
      </c>
      <c r="D101" s="393">
        <v>1340</v>
      </c>
      <c r="E101" s="385" t="s">
        <v>699</v>
      </c>
      <c r="F101" s="391" t="s">
        <v>1061</v>
      </c>
      <c r="G101" s="382"/>
      <c r="H101" s="392" t="s">
        <v>881</v>
      </c>
      <c r="I101" s="382"/>
    </row>
    <row r="102" spans="1:9">
      <c r="A102" s="389">
        <v>95</v>
      </c>
      <c r="B102" s="387" t="s">
        <v>989</v>
      </c>
      <c r="C102" s="387" t="s">
        <v>988</v>
      </c>
      <c r="D102" s="393">
        <v>700</v>
      </c>
      <c r="E102" s="385" t="s">
        <v>699</v>
      </c>
      <c r="F102" s="391" t="s">
        <v>1061</v>
      </c>
      <c r="G102" s="382">
        <v>4000009549</v>
      </c>
      <c r="H102" s="392"/>
      <c r="I102" s="382"/>
    </row>
    <row r="103" spans="1:9">
      <c r="A103" s="389">
        <v>96</v>
      </c>
      <c r="B103" s="387" t="s">
        <v>821</v>
      </c>
      <c r="C103" s="387" t="s">
        <v>820</v>
      </c>
      <c r="D103" s="393">
        <v>40</v>
      </c>
      <c r="E103" s="385" t="s">
        <v>699</v>
      </c>
      <c r="F103" s="391" t="s">
        <v>1061</v>
      </c>
      <c r="G103" s="382">
        <v>4500000043</v>
      </c>
      <c r="H103" s="392"/>
      <c r="I103" s="381"/>
    </row>
    <row r="104" spans="1:9">
      <c r="A104" s="389">
        <v>97</v>
      </c>
      <c r="B104" s="387" t="s">
        <v>934</v>
      </c>
      <c r="C104" s="387" t="s">
        <v>933</v>
      </c>
      <c r="D104" s="393">
        <v>16.649999999999999</v>
      </c>
      <c r="E104" s="385" t="s">
        <v>699</v>
      </c>
      <c r="F104" s="391" t="s">
        <v>1061</v>
      </c>
      <c r="G104" s="382">
        <v>4500000043</v>
      </c>
      <c r="H104" s="381"/>
      <c r="I104" s="381"/>
    </row>
    <row r="105" spans="1:9">
      <c r="A105" s="389">
        <v>98</v>
      </c>
      <c r="B105" s="387" t="s">
        <v>936</v>
      </c>
      <c r="C105" s="387" t="s">
        <v>935</v>
      </c>
      <c r="D105" s="393"/>
      <c r="E105" s="385" t="s">
        <v>699</v>
      </c>
      <c r="F105" s="391" t="s">
        <v>1061</v>
      </c>
      <c r="G105" s="382"/>
      <c r="H105" s="381"/>
      <c r="I105" s="381"/>
    </row>
    <row r="106" spans="1:9">
      <c r="A106" s="389">
        <v>99</v>
      </c>
      <c r="B106" s="387" t="s">
        <v>938</v>
      </c>
      <c r="C106" s="387" t="s">
        <v>937</v>
      </c>
      <c r="D106" s="393"/>
      <c r="E106" s="385" t="s">
        <v>699</v>
      </c>
      <c r="F106" s="391" t="s">
        <v>1061</v>
      </c>
      <c r="G106" s="382"/>
      <c r="H106" s="381"/>
      <c r="I106" s="381"/>
    </row>
    <row r="107" spans="1:9">
      <c r="A107" s="389">
        <v>100</v>
      </c>
      <c r="B107" s="387" t="s">
        <v>836</v>
      </c>
      <c r="C107" s="387" t="s">
        <v>835</v>
      </c>
      <c r="D107" s="413"/>
      <c r="E107" s="381"/>
      <c r="F107" s="399"/>
      <c r="G107" s="382"/>
      <c r="H107" s="381"/>
      <c r="I107" s="381"/>
    </row>
    <row r="108" spans="1:9">
      <c r="A108" s="389">
        <v>101</v>
      </c>
      <c r="B108" s="387" t="s">
        <v>940</v>
      </c>
      <c r="C108" s="387" t="s">
        <v>939</v>
      </c>
      <c r="D108" s="413"/>
      <c r="E108" s="381"/>
      <c r="F108" s="399"/>
      <c r="G108" s="382"/>
      <c r="H108" s="381"/>
      <c r="I108" s="381"/>
    </row>
    <row r="109" spans="1:9">
      <c r="A109" s="389">
        <v>102</v>
      </c>
      <c r="B109" s="387" t="s">
        <v>942</v>
      </c>
      <c r="C109" s="387" t="s">
        <v>941</v>
      </c>
      <c r="D109" s="393">
        <v>25.19</v>
      </c>
      <c r="E109" s="385" t="s">
        <v>699</v>
      </c>
      <c r="F109" s="391" t="s">
        <v>1061</v>
      </c>
      <c r="G109" s="382"/>
      <c r="H109" s="381"/>
      <c r="I109" s="381"/>
    </row>
    <row r="110" spans="1:9">
      <c r="A110" s="389">
        <v>103</v>
      </c>
      <c r="B110" s="387" t="s">
        <v>944</v>
      </c>
      <c r="C110" s="387" t="s">
        <v>943</v>
      </c>
      <c r="D110" s="413"/>
      <c r="E110" s="381"/>
      <c r="F110" s="399"/>
      <c r="G110" s="382"/>
      <c r="H110" s="381"/>
      <c r="I110" s="381"/>
    </row>
    <row r="111" spans="1:9">
      <c r="A111" s="389">
        <v>104</v>
      </c>
      <c r="B111" s="387" t="s">
        <v>779</v>
      </c>
      <c r="C111" s="387" t="s">
        <v>778</v>
      </c>
      <c r="D111" s="413"/>
      <c r="E111" s="381"/>
      <c r="F111" s="399"/>
      <c r="G111" s="382"/>
      <c r="H111" s="381"/>
      <c r="I111" s="381"/>
    </row>
    <row r="112" spans="1:9">
      <c r="A112" s="389">
        <v>105</v>
      </c>
      <c r="B112" s="387" t="s">
        <v>946</v>
      </c>
      <c r="C112" s="414" t="s">
        <v>945</v>
      </c>
      <c r="D112" s="413"/>
      <c r="E112" s="381"/>
      <c r="F112" s="399"/>
      <c r="G112" s="382"/>
      <c r="H112" s="381"/>
      <c r="I112" s="381"/>
    </row>
    <row r="113" spans="1:9">
      <c r="A113" s="389">
        <v>106</v>
      </c>
      <c r="B113" s="387" t="s">
        <v>948</v>
      </c>
      <c r="C113" s="387" t="s">
        <v>947</v>
      </c>
      <c r="D113" s="393">
        <v>169.8</v>
      </c>
      <c r="E113" s="385" t="s">
        <v>699</v>
      </c>
      <c r="F113" s="391" t="s">
        <v>1061</v>
      </c>
      <c r="G113" s="382">
        <v>4000008888</v>
      </c>
      <c r="H113" s="408" t="s">
        <v>889</v>
      </c>
      <c r="I113" s="382">
        <v>30049099</v>
      </c>
    </row>
    <row r="114" spans="1:9">
      <c r="A114" s="389">
        <v>107</v>
      </c>
      <c r="B114" s="387" t="s">
        <v>950</v>
      </c>
      <c r="C114" s="387" t="s">
        <v>949</v>
      </c>
      <c r="D114" s="413"/>
      <c r="E114" s="385" t="s">
        <v>856</v>
      </c>
      <c r="F114" s="397" t="s">
        <v>1074</v>
      </c>
      <c r="G114" s="382"/>
      <c r="H114" s="413"/>
      <c r="I114" s="413"/>
    </row>
    <row r="115" spans="1:9">
      <c r="A115" s="389">
        <v>108</v>
      </c>
      <c r="B115" s="387" t="s">
        <v>952</v>
      </c>
      <c r="C115" s="387" t="s">
        <v>951</v>
      </c>
      <c r="D115" s="413"/>
      <c r="E115" s="413"/>
      <c r="F115" s="413"/>
      <c r="G115" s="382"/>
      <c r="H115" s="413"/>
      <c r="I115" s="413"/>
    </row>
    <row r="116" spans="1:9">
      <c r="A116" s="389">
        <v>109</v>
      </c>
      <c r="B116" s="387" t="s">
        <v>1112</v>
      </c>
      <c r="C116" s="387" t="s">
        <v>953</v>
      </c>
      <c r="D116" s="413"/>
      <c r="E116" s="381"/>
      <c r="F116" s="399"/>
      <c r="G116" s="382"/>
      <c r="H116" s="381"/>
      <c r="I116" s="381"/>
    </row>
    <row r="117" spans="1:9">
      <c r="A117" s="389">
        <v>110</v>
      </c>
      <c r="B117" s="387" t="s">
        <v>956</v>
      </c>
      <c r="C117" s="387" t="s">
        <v>955</v>
      </c>
      <c r="D117" s="413"/>
      <c r="E117" s="381"/>
      <c r="F117" s="399"/>
      <c r="G117" s="382"/>
      <c r="H117" s="381"/>
      <c r="I117" s="381"/>
    </row>
    <row r="118" spans="1:9">
      <c r="A118" s="389">
        <v>111</v>
      </c>
      <c r="B118" s="387" t="s">
        <v>958</v>
      </c>
      <c r="C118" s="387" t="s">
        <v>957</v>
      </c>
      <c r="D118" s="413"/>
      <c r="E118" s="381"/>
      <c r="F118" s="399"/>
      <c r="G118" s="382"/>
      <c r="H118" s="381"/>
      <c r="I118" s="381"/>
    </row>
    <row r="119" spans="1:9">
      <c r="A119" s="389">
        <v>112</v>
      </c>
      <c r="B119" s="387" t="s">
        <v>960</v>
      </c>
      <c r="C119" s="387" t="s">
        <v>959</v>
      </c>
      <c r="D119" s="413"/>
      <c r="E119" s="381"/>
      <c r="F119" s="399"/>
      <c r="G119" s="382"/>
      <c r="H119" s="381"/>
      <c r="I119" s="381"/>
    </row>
    <row r="120" spans="1:9">
      <c r="A120" s="389">
        <v>113</v>
      </c>
      <c r="B120" s="387" t="s">
        <v>110</v>
      </c>
      <c r="C120" s="387" t="s">
        <v>845</v>
      </c>
      <c r="D120" s="413"/>
      <c r="E120" s="381"/>
      <c r="F120" s="399"/>
      <c r="G120" s="382"/>
      <c r="H120" s="381"/>
      <c r="I120" s="381"/>
    </row>
    <row r="121" spans="1:9">
      <c r="A121" s="389">
        <v>114</v>
      </c>
      <c r="B121" s="387" t="s">
        <v>1113</v>
      </c>
      <c r="C121" s="387" t="s">
        <v>961</v>
      </c>
      <c r="D121" s="413"/>
      <c r="E121" s="385" t="s">
        <v>699</v>
      </c>
      <c r="F121" s="391" t="s">
        <v>1061</v>
      </c>
      <c r="G121" s="382"/>
      <c r="H121" s="415" t="s">
        <v>963</v>
      </c>
      <c r="I121" s="381"/>
    </row>
    <row r="122" spans="1:9">
      <c r="A122" s="389">
        <v>115</v>
      </c>
      <c r="B122" s="387" t="s">
        <v>965</v>
      </c>
      <c r="C122" s="387" t="s">
        <v>964</v>
      </c>
      <c r="D122" s="413"/>
      <c r="E122" s="385" t="s">
        <v>699</v>
      </c>
      <c r="F122" s="391" t="s">
        <v>1061</v>
      </c>
      <c r="G122" s="382"/>
      <c r="H122" s="381"/>
      <c r="I122" s="381"/>
    </row>
    <row r="123" spans="1:9">
      <c r="A123" s="389">
        <v>116</v>
      </c>
      <c r="B123" s="387" t="s">
        <v>1114</v>
      </c>
      <c r="C123" s="387" t="s">
        <v>966</v>
      </c>
      <c r="D123" s="413"/>
      <c r="E123" s="381"/>
      <c r="F123" s="399"/>
      <c r="G123" s="382"/>
      <c r="H123" s="381"/>
      <c r="I123" s="381"/>
    </row>
    <row r="124" spans="1:9">
      <c r="A124" s="389">
        <v>117</v>
      </c>
      <c r="B124" s="387" t="s">
        <v>895</v>
      </c>
      <c r="C124" s="387" t="s">
        <v>894</v>
      </c>
      <c r="D124" s="413"/>
      <c r="E124" s="385" t="s">
        <v>807</v>
      </c>
      <c r="F124" s="396" t="s">
        <v>1073</v>
      </c>
      <c r="G124" s="382"/>
      <c r="H124" s="381"/>
      <c r="I124" s="381"/>
    </row>
    <row r="125" spans="1:9">
      <c r="A125" s="389">
        <v>118</v>
      </c>
      <c r="B125" s="387" t="s">
        <v>969</v>
      </c>
      <c r="C125" s="387" t="s">
        <v>968</v>
      </c>
      <c r="D125" s="393">
        <v>340</v>
      </c>
      <c r="E125" s="385" t="s">
        <v>699</v>
      </c>
      <c r="F125" s="391" t="s">
        <v>1061</v>
      </c>
      <c r="G125" s="382"/>
      <c r="H125" s="381"/>
      <c r="I125" s="381"/>
    </row>
    <row r="126" spans="1:9">
      <c r="A126" s="389">
        <v>119</v>
      </c>
      <c r="B126" s="387" t="s">
        <v>913</v>
      </c>
      <c r="C126" s="387" t="s">
        <v>912</v>
      </c>
      <c r="D126" s="413"/>
      <c r="E126" s="385" t="s">
        <v>699</v>
      </c>
      <c r="F126" s="391" t="s">
        <v>1061</v>
      </c>
      <c r="G126" s="382"/>
      <c r="H126" s="381"/>
      <c r="I126" s="381"/>
    </row>
    <row r="127" spans="1:9">
      <c r="A127" s="389">
        <v>120</v>
      </c>
      <c r="B127" s="387" t="s">
        <v>1115</v>
      </c>
      <c r="C127" s="387" t="s">
        <v>970</v>
      </c>
      <c r="D127" s="393">
        <v>50.11</v>
      </c>
      <c r="E127" s="381"/>
      <c r="F127" s="391" t="s">
        <v>1061</v>
      </c>
      <c r="G127" s="382">
        <v>4500000043</v>
      </c>
      <c r="H127" s="381"/>
      <c r="I127" s="381"/>
    </row>
    <row r="128" spans="1:9">
      <c r="A128" s="389">
        <v>121</v>
      </c>
      <c r="B128" s="387" t="s">
        <v>973</v>
      </c>
      <c r="C128" s="387" t="s">
        <v>972</v>
      </c>
      <c r="D128" s="413"/>
      <c r="E128" s="385" t="s">
        <v>699</v>
      </c>
      <c r="F128" s="391" t="s">
        <v>1061</v>
      </c>
      <c r="G128" s="382"/>
      <c r="H128" s="381"/>
      <c r="I128" s="381"/>
    </row>
    <row r="129" spans="1:9">
      <c r="A129" s="389">
        <v>122</v>
      </c>
      <c r="B129" s="387" t="s">
        <v>975</v>
      </c>
      <c r="C129" s="387" t="s">
        <v>974</v>
      </c>
      <c r="D129" s="413"/>
      <c r="E129" s="385" t="s">
        <v>699</v>
      </c>
      <c r="F129" s="391" t="s">
        <v>1061</v>
      </c>
      <c r="G129" s="382"/>
      <c r="H129" s="381"/>
      <c r="I129" s="381"/>
    </row>
    <row r="130" spans="1:9">
      <c r="A130" s="389">
        <v>123</v>
      </c>
      <c r="B130" s="387" t="s">
        <v>977</v>
      </c>
      <c r="C130" s="387" t="s">
        <v>976</v>
      </c>
      <c r="D130" s="393">
        <v>13.3</v>
      </c>
      <c r="E130" s="385" t="s">
        <v>807</v>
      </c>
      <c r="F130" s="396" t="s">
        <v>1073</v>
      </c>
      <c r="G130" s="382">
        <v>4500000043</v>
      </c>
      <c r="H130" s="381"/>
      <c r="I130" s="381"/>
    </row>
    <row r="131" spans="1:9">
      <c r="A131" s="389">
        <v>124</v>
      </c>
      <c r="B131" s="387" t="s">
        <v>979</v>
      </c>
      <c r="C131" s="387" t="s">
        <v>978</v>
      </c>
      <c r="D131" s="413"/>
      <c r="E131" s="385" t="s">
        <v>856</v>
      </c>
      <c r="F131" s="397" t="s">
        <v>1074</v>
      </c>
      <c r="G131" s="382"/>
      <c r="H131" s="381"/>
      <c r="I131" s="381"/>
    </row>
    <row r="132" spans="1:9">
      <c r="A132" s="389">
        <v>125</v>
      </c>
      <c r="B132" s="387" t="s">
        <v>981</v>
      </c>
      <c r="C132" s="387" t="s">
        <v>980</v>
      </c>
      <c r="D132" s="413"/>
      <c r="E132" s="385" t="s">
        <v>699</v>
      </c>
      <c r="F132" s="391" t="s">
        <v>1061</v>
      </c>
      <c r="G132" s="382"/>
      <c r="H132" s="381"/>
      <c r="I132" s="381"/>
    </row>
    <row r="133" spans="1:9">
      <c r="A133" s="389">
        <v>126</v>
      </c>
      <c r="B133" s="387" t="s">
        <v>983</v>
      </c>
      <c r="C133" s="387" t="s">
        <v>982</v>
      </c>
      <c r="D133" s="393">
        <v>29.5</v>
      </c>
      <c r="E133" s="385" t="s">
        <v>807</v>
      </c>
      <c r="F133" s="396" t="s">
        <v>1073</v>
      </c>
      <c r="G133" s="382">
        <v>4500000055</v>
      </c>
      <c r="H133" s="381"/>
      <c r="I133" s="381"/>
    </row>
    <row r="134" spans="1:9">
      <c r="A134" s="389">
        <v>127</v>
      </c>
      <c r="B134" s="387" t="s">
        <v>985</v>
      </c>
      <c r="C134" s="387" t="s">
        <v>984</v>
      </c>
      <c r="D134" s="413"/>
      <c r="E134" s="385" t="s">
        <v>856</v>
      </c>
      <c r="F134" s="397" t="s">
        <v>1074</v>
      </c>
      <c r="G134" s="382"/>
      <c r="H134" s="381"/>
      <c r="I134" s="381"/>
    </row>
    <row r="135" spans="1:9">
      <c r="A135" s="389">
        <v>128</v>
      </c>
      <c r="B135" s="387" t="s">
        <v>987</v>
      </c>
      <c r="C135" s="387" t="s">
        <v>986</v>
      </c>
      <c r="D135" s="413"/>
      <c r="E135" s="385" t="s">
        <v>856</v>
      </c>
      <c r="F135" s="397" t="s">
        <v>1074</v>
      </c>
      <c r="G135" s="382"/>
      <c r="H135" s="381"/>
      <c r="I135" s="381"/>
    </row>
    <row r="136" spans="1:9">
      <c r="A136" s="389">
        <v>129</v>
      </c>
      <c r="B136" s="387" t="s">
        <v>1116</v>
      </c>
      <c r="C136" s="387" t="s">
        <v>882</v>
      </c>
      <c r="D136" s="413"/>
      <c r="E136" s="385" t="s">
        <v>699</v>
      </c>
      <c r="F136" s="391" t="s">
        <v>1061</v>
      </c>
      <c r="G136" s="382"/>
      <c r="H136" s="381"/>
      <c r="I136" s="381"/>
    </row>
    <row r="137" spans="1:9">
      <c r="A137" s="389">
        <v>130</v>
      </c>
      <c r="B137" s="387" t="s">
        <v>817</v>
      </c>
      <c r="C137" s="387" t="s">
        <v>816</v>
      </c>
      <c r="D137" s="413"/>
      <c r="E137" s="385" t="s">
        <v>856</v>
      </c>
      <c r="F137" s="397" t="s">
        <v>1074</v>
      </c>
      <c r="G137" s="382"/>
      <c r="H137" s="381"/>
      <c r="I137" s="381"/>
    </row>
    <row r="138" spans="1:9">
      <c r="A138" s="389">
        <v>131</v>
      </c>
      <c r="B138" s="387" t="s">
        <v>1117</v>
      </c>
      <c r="C138" s="387" t="s">
        <v>843</v>
      </c>
      <c r="D138" s="413"/>
      <c r="E138" s="385" t="s">
        <v>699</v>
      </c>
      <c r="F138" s="391" t="s">
        <v>1061</v>
      </c>
      <c r="G138" s="382"/>
      <c r="H138" s="381"/>
      <c r="I138" s="381"/>
    </row>
    <row r="139" spans="1:9">
      <c r="B139" s="416"/>
      <c r="C139" s="416"/>
      <c r="D139" s="413"/>
      <c r="E139" s="381"/>
      <c r="F139" s="399"/>
      <c r="G139" s="382"/>
      <c r="H139" s="381"/>
      <c r="I139" s="381"/>
    </row>
    <row r="140" spans="1:9">
      <c r="B140" s="416"/>
      <c r="C140" s="416"/>
      <c r="D140" s="413"/>
      <c r="E140" s="381"/>
      <c r="F140" s="399"/>
      <c r="G140" s="382"/>
      <c r="H140" s="381"/>
      <c r="I140" s="381"/>
    </row>
    <row r="141" spans="1:9">
      <c r="B141" s="416"/>
      <c r="C141" s="416"/>
      <c r="D141" s="413"/>
      <c r="E141" s="381"/>
      <c r="F141" s="399"/>
      <c r="G141" s="382"/>
      <c r="H141" s="381"/>
      <c r="I141" s="381"/>
    </row>
    <row r="142" spans="1:9">
      <c r="B142" s="416"/>
      <c r="C142" s="416"/>
      <c r="D142" s="413"/>
      <c r="E142" s="381"/>
      <c r="F142" s="399"/>
      <c r="G142" s="382"/>
      <c r="H142" s="381"/>
      <c r="I142" s="381"/>
    </row>
    <row r="143" spans="1:9">
      <c r="B143" s="416"/>
      <c r="C143" s="416"/>
      <c r="D143" s="413"/>
      <c r="E143" s="381"/>
      <c r="F143" s="399"/>
      <c r="G143" s="382"/>
      <c r="H143" s="381"/>
      <c r="I143" s="381"/>
    </row>
  </sheetData>
  <mergeCells count="1">
    <mergeCell ref="B1:F1"/>
  </mergeCells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23"/>
  <sheetViews>
    <sheetView zoomScale="40" zoomScaleNormal="40" workbookViewId="0">
      <selection activeCell="B1" sqref="B1"/>
    </sheetView>
  </sheetViews>
  <sheetFormatPr defaultColWidth="9.140625" defaultRowHeight="63"/>
  <cols>
    <col min="1" max="1" width="17.28515625" style="337" customWidth="1"/>
    <col min="2" max="2" width="46.28515625" style="338" customWidth="1"/>
    <col min="3" max="3" width="232" style="338" customWidth="1"/>
    <col min="4" max="4" width="255.7109375" style="339" customWidth="1"/>
    <col min="5" max="5" width="130.140625" style="337" customWidth="1"/>
    <col min="6" max="6" width="159.5703125" style="337" customWidth="1"/>
    <col min="7" max="7" width="26.28515625" style="337" customWidth="1"/>
    <col min="8" max="8" width="93.42578125" style="337" customWidth="1"/>
    <col min="9" max="16384" width="9.140625" style="337"/>
  </cols>
  <sheetData>
    <row r="1" spans="1:8">
      <c r="A1" s="340" t="s">
        <v>112</v>
      </c>
      <c r="B1" s="341" t="s">
        <v>113</v>
      </c>
      <c r="C1" s="341"/>
      <c r="D1" s="342" t="s">
        <v>114</v>
      </c>
      <c r="E1" s="343"/>
      <c r="F1" s="343"/>
      <c r="G1" s="344"/>
      <c r="H1" s="593"/>
    </row>
    <row r="2" spans="1:8">
      <c r="A2" s="346">
        <v>1</v>
      </c>
      <c r="B2" s="347">
        <v>5300038</v>
      </c>
      <c r="C2" s="347" t="s">
        <v>1118</v>
      </c>
      <c r="D2" s="348" t="s">
        <v>1119</v>
      </c>
      <c r="E2" s="343"/>
      <c r="F2" s="343"/>
      <c r="G2" s="344"/>
      <c r="H2" s="593"/>
    </row>
    <row r="3" spans="1:8" ht="94.5">
      <c r="A3" s="346"/>
      <c r="B3" s="349"/>
      <c r="C3" s="347" t="s">
        <v>1118</v>
      </c>
      <c r="D3" s="350" t="s">
        <v>1120</v>
      </c>
      <c r="E3" s="343"/>
      <c r="F3" s="343"/>
      <c r="G3" s="344"/>
      <c r="H3" s="345"/>
    </row>
    <row r="4" spans="1:8">
      <c r="A4" s="346"/>
      <c r="B4" s="349"/>
      <c r="C4" s="347" t="s">
        <v>1118</v>
      </c>
      <c r="D4" s="350" t="s">
        <v>1121</v>
      </c>
      <c r="E4" s="343"/>
      <c r="F4" s="343"/>
      <c r="G4" s="344"/>
      <c r="H4" s="351"/>
    </row>
    <row r="5" spans="1:8">
      <c r="A5" s="346"/>
      <c r="B5" s="352"/>
      <c r="C5" s="347" t="s">
        <v>1118</v>
      </c>
      <c r="D5" s="353" t="s">
        <v>1122</v>
      </c>
      <c r="E5" s="343"/>
      <c r="F5" s="343"/>
      <c r="G5" s="344"/>
      <c r="H5" s="351"/>
    </row>
    <row r="6" spans="1:8">
      <c r="A6" s="346">
        <v>2</v>
      </c>
      <c r="B6" s="354">
        <v>5112589</v>
      </c>
      <c r="C6" s="347" t="s">
        <v>117</v>
      </c>
      <c r="D6" s="355" t="s">
        <v>117</v>
      </c>
      <c r="E6" s="343"/>
      <c r="F6" s="343"/>
      <c r="G6" s="344"/>
      <c r="H6" s="356"/>
    </row>
    <row r="7" spans="1:8">
      <c r="A7" s="346"/>
      <c r="B7" s="354"/>
      <c r="C7" s="347" t="s">
        <v>117</v>
      </c>
      <c r="D7" s="355" t="s">
        <v>118</v>
      </c>
      <c r="E7" s="343"/>
      <c r="F7" s="343"/>
      <c r="G7" s="344"/>
      <c r="H7" s="356"/>
    </row>
    <row r="8" spans="1:8">
      <c r="A8" s="346"/>
      <c r="B8" s="354"/>
      <c r="C8" s="347" t="s">
        <v>117</v>
      </c>
      <c r="D8" s="355" t="s">
        <v>119</v>
      </c>
      <c r="E8" s="343"/>
      <c r="F8" s="343"/>
      <c r="G8" s="344"/>
      <c r="H8" s="356"/>
    </row>
    <row r="9" spans="1:8">
      <c r="A9" s="346"/>
      <c r="B9" s="354"/>
      <c r="C9" s="347" t="s">
        <v>117</v>
      </c>
      <c r="D9" s="355" t="s">
        <v>120</v>
      </c>
      <c r="E9" s="343"/>
      <c r="F9" s="343"/>
      <c r="G9" s="344"/>
      <c r="H9" s="356"/>
    </row>
    <row r="10" spans="1:8">
      <c r="A10" s="346"/>
      <c r="B10" s="354"/>
      <c r="C10" s="347" t="s">
        <v>117</v>
      </c>
      <c r="D10" s="355" t="s">
        <v>121</v>
      </c>
      <c r="E10" s="343"/>
      <c r="F10" s="343"/>
      <c r="G10" s="344"/>
      <c r="H10" s="356"/>
    </row>
    <row r="11" spans="1:8">
      <c r="A11" s="346"/>
      <c r="B11" s="354"/>
      <c r="C11" s="347" t="s">
        <v>117</v>
      </c>
      <c r="D11" s="355" t="s">
        <v>122</v>
      </c>
      <c r="E11" s="343"/>
      <c r="F11" s="343"/>
      <c r="G11" s="344"/>
      <c r="H11" s="356"/>
    </row>
    <row r="12" spans="1:8">
      <c r="A12" s="346">
        <v>3</v>
      </c>
      <c r="B12" s="347">
        <v>5300037</v>
      </c>
      <c r="C12" s="347" t="s">
        <v>1123</v>
      </c>
      <c r="D12" s="357" t="s">
        <v>11</v>
      </c>
      <c r="E12" s="343"/>
      <c r="F12" s="343"/>
      <c r="G12" s="358"/>
      <c r="H12" s="358"/>
    </row>
    <row r="13" spans="1:8">
      <c r="A13" s="346"/>
      <c r="B13" s="347"/>
      <c r="C13" s="347" t="s">
        <v>1123</v>
      </c>
      <c r="D13" s="357" t="s">
        <v>123</v>
      </c>
      <c r="E13" s="343"/>
      <c r="F13" s="343"/>
      <c r="G13" s="358"/>
      <c r="H13" s="358"/>
    </row>
    <row r="14" spans="1:8">
      <c r="A14" s="346"/>
      <c r="B14" s="347"/>
      <c r="C14" s="347" t="s">
        <v>1123</v>
      </c>
      <c r="D14" s="357" t="s">
        <v>124</v>
      </c>
      <c r="E14" s="343"/>
      <c r="F14" s="343"/>
      <c r="G14" s="358"/>
      <c r="H14" s="358"/>
    </row>
    <row r="15" spans="1:8">
      <c r="A15" s="346"/>
      <c r="B15" s="347"/>
      <c r="C15" s="347" t="s">
        <v>1123</v>
      </c>
      <c r="D15" s="357" t="s">
        <v>125</v>
      </c>
      <c r="E15" s="343"/>
      <c r="F15" s="343"/>
      <c r="G15" s="358"/>
      <c r="H15" s="358"/>
    </row>
    <row r="16" spans="1:8">
      <c r="A16" s="346"/>
      <c r="B16" s="347"/>
      <c r="C16" s="347" t="s">
        <v>1123</v>
      </c>
      <c r="D16" s="357" t="s">
        <v>126</v>
      </c>
      <c r="E16" s="343"/>
      <c r="F16" s="343"/>
      <c r="G16" s="358"/>
      <c r="H16" s="358"/>
    </row>
    <row r="17" spans="1:8">
      <c r="A17" s="346"/>
      <c r="B17" s="347"/>
      <c r="C17" s="347" t="s">
        <v>1123</v>
      </c>
      <c r="D17" s="357" t="s">
        <v>127</v>
      </c>
      <c r="E17" s="343"/>
      <c r="F17" s="343"/>
      <c r="G17" s="358"/>
      <c r="H17" s="358"/>
    </row>
    <row r="18" spans="1:8">
      <c r="A18" s="346"/>
      <c r="B18" s="347"/>
      <c r="C18" s="347" t="s">
        <v>1123</v>
      </c>
      <c r="D18" s="357" t="s">
        <v>128</v>
      </c>
      <c r="E18" s="343"/>
      <c r="F18" s="343"/>
      <c r="G18" s="358"/>
      <c r="H18" s="358"/>
    </row>
    <row r="19" spans="1:8">
      <c r="A19" s="346"/>
      <c r="B19" s="347"/>
      <c r="C19" s="347" t="s">
        <v>1123</v>
      </c>
      <c r="D19" s="357" t="s">
        <v>122</v>
      </c>
      <c r="E19" s="343"/>
      <c r="F19" s="343"/>
      <c r="G19" s="358"/>
      <c r="H19" s="358"/>
    </row>
    <row r="20" spans="1:8">
      <c r="A20" s="346">
        <v>4</v>
      </c>
      <c r="B20" s="347">
        <v>5116198</v>
      </c>
      <c r="C20" s="347" t="s">
        <v>1124</v>
      </c>
      <c r="D20" s="348" t="s">
        <v>1125</v>
      </c>
      <c r="E20" s="343"/>
      <c r="F20" s="343"/>
      <c r="G20" s="359"/>
      <c r="H20" s="360"/>
    </row>
    <row r="21" spans="1:8">
      <c r="A21" s="346"/>
      <c r="B21" s="347"/>
      <c r="C21" s="347" t="s">
        <v>1124</v>
      </c>
      <c r="D21" s="357" t="s">
        <v>1126</v>
      </c>
      <c r="E21" s="343"/>
      <c r="F21" s="343"/>
      <c r="G21" s="359"/>
      <c r="H21" s="360"/>
    </row>
    <row r="22" spans="1:8">
      <c r="A22" s="346">
        <v>5</v>
      </c>
      <c r="B22" s="347">
        <v>5102906</v>
      </c>
      <c r="C22" s="347" t="s">
        <v>130</v>
      </c>
      <c r="D22" s="348" t="s">
        <v>130</v>
      </c>
      <c r="E22" s="343"/>
      <c r="F22" s="343"/>
      <c r="G22" s="356"/>
      <c r="H22" s="356"/>
    </row>
    <row r="23" spans="1:8">
      <c r="A23" s="346"/>
      <c r="B23" s="347"/>
      <c r="C23" s="347" t="s">
        <v>130</v>
      </c>
      <c r="D23" s="348" t="s">
        <v>1127</v>
      </c>
      <c r="E23" s="343"/>
      <c r="F23" s="343"/>
      <c r="G23" s="356"/>
      <c r="H23" s="356"/>
    </row>
    <row r="24" spans="1:8">
      <c r="A24" s="346"/>
      <c r="B24" s="347"/>
      <c r="C24" s="347" t="s">
        <v>130</v>
      </c>
      <c r="D24" s="348" t="s">
        <v>1128</v>
      </c>
      <c r="E24" s="343"/>
      <c r="F24" s="343"/>
      <c r="G24" s="356"/>
      <c r="H24" s="356"/>
    </row>
    <row r="25" spans="1:8">
      <c r="A25" s="346"/>
      <c r="B25" s="361"/>
      <c r="C25" s="347" t="s">
        <v>130</v>
      </c>
      <c r="D25" s="357" t="s">
        <v>1129</v>
      </c>
      <c r="E25" s="343"/>
      <c r="F25" s="343"/>
      <c r="G25" s="362"/>
      <c r="H25" s="358"/>
    </row>
    <row r="26" spans="1:8">
      <c r="A26" s="346">
        <v>6</v>
      </c>
      <c r="B26" s="363">
        <v>5102906</v>
      </c>
      <c r="C26" s="363" t="s">
        <v>130</v>
      </c>
      <c r="D26" s="364" t="s">
        <v>1130</v>
      </c>
      <c r="E26" s="343"/>
      <c r="F26" s="343"/>
      <c r="G26" s="362"/>
      <c r="H26" s="358"/>
    </row>
    <row r="27" spans="1:8">
      <c r="A27" s="346"/>
      <c r="B27" s="363"/>
      <c r="C27" s="363" t="s">
        <v>130</v>
      </c>
      <c r="D27" s="364" t="s">
        <v>1131</v>
      </c>
      <c r="E27" s="343"/>
      <c r="F27" s="343"/>
      <c r="G27" s="362"/>
      <c r="H27" s="358"/>
    </row>
    <row r="28" spans="1:8">
      <c r="A28" s="346"/>
      <c r="B28" s="363"/>
      <c r="C28" s="363" t="s">
        <v>130</v>
      </c>
      <c r="D28" s="364" t="s">
        <v>1132</v>
      </c>
      <c r="E28" s="343"/>
      <c r="F28" s="343"/>
      <c r="G28" s="362"/>
      <c r="H28" s="358"/>
    </row>
    <row r="29" spans="1:8">
      <c r="A29" s="346">
        <v>7</v>
      </c>
      <c r="B29" s="347">
        <v>5104521</v>
      </c>
      <c r="C29" s="347" t="s">
        <v>746</v>
      </c>
      <c r="D29" s="348" t="s">
        <v>746</v>
      </c>
      <c r="E29" s="343"/>
      <c r="F29" s="343"/>
    </row>
    <row r="30" spans="1:8">
      <c r="A30" s="346"/>
      <c r="B30" s="347"/>
      <c r="C30" s="347" t="s">
        <v>746</v>
      </c>
      <c r="D30" s="348" t="s">
        <v>137</v>
      </c>
      <c r="E30" s="343"/>
      <c r="F30" s="343"/>
    </row>
    <row r="31" spans="1:8">
      <c r="A31" s="346"/>
      <c r="B31" s="347"/>
      <c r="C31" s="347" t="s">
        <v>746</v>
      </c>
      <c r="D31" s="348" t="s">
        <v>138</v>
      </c>
      <c r="E31" s="343"/>
      <c r="F31" s="343"/>
    </row>
    <row r="32" spans="1:8">
      <c r="A32" s="343"/>
      <c r="B32" s="361"/>
      <c r="C32" s="347" t="s">
        <v>746</v>
      </c>
      <c r="D32" s="348" t="s">
        <v>1133</v>
      </c>
      <c r="E32" s="343"/>
      <c r="F32" s="343"/>
    </row>
    <row r="33" spans="1:6">
      <c r="A33" s="343"/>
      <c r="B33" s="361"/>
      <c r="C33" s="347" t="s">
        <v>746</v>
      </c>
      <c r="D33" s="348">
        <v>382210</v>
      </c>
      <c r="E33" s="343"/>
      <c r="F33" s="343"/>
    </row>
    <row r="34" spans="1:6">
      <c r="A34" s="343"/>
      <c r="B34" s="361"/>
      <c r="C34" s="347" t="s">
        <v>746</v>
      </c>
      <c r="D34" s="348" t="s">
        <v>122</v>
      </c>
      <c r="E34" s="343"/>
      <c r="F34" s="343"/>
    </row>
    <row r="35" spans="1:6">
      <c r="A35" s="346">
        <v>8</v>
      </c>
      <c r="B35" s="347">
        <v>5100116</v>
      </c>
      <c r="C35" s="347" t="s">
        <v>141</v>
      </c>
      <c r="D35" s="348" t="s">
        <v>141</v>
      </c>
      <c r="E35" s="343"/>
      <c r="F35" s="343"/>
    </row>
    <row r="36" spans="1:6">
      <c r="A36" s="343"/>
      <c r="B36" s="361"/>
      <c r="C36" s="347" t="s">
        <v>141</v>
      </c>
      <c r="D36" s="348" t="s">
        <v>144</v>
      </c>
      <c r="E36" s="343"/>
      <c r="F36" s="343"/>
    </row>
    <row r="37" spans="1:6">
      <c r="A37" s="343"/>
      <c r="B37" s="361"/>
      <c r="C37" s="347" t="s">
        <v>141</v>
      </c>
      <c r="D37" s="348" t="s">
        <v>145</v>
      </c>
      <c r="E37" s="343"/>
      <c r="F37" s="343"/>
    </row>
    <row r="38" spans="1:6">
      <c r="A38" s="343"/>
      <c r="B38" s="361"/>
      <c r="C38" s="347" t="s">
        <v>141</v>
      </c>
      <c r="D38" s="348" t="s">
        <v>143</v>
      </c>
      <c r="E38" s="343"/>
      <c r="F38" s="343"/>
    </row>
    <row r="39" spans="1:6">
      <c r="A39" s="343"/>
      <c r="B39" s="361"/>
      <c r="C39" s="347" t="s">
        <v>141</v>
      </c>
      <c r="D39" s="348" t="s">
        <v>1134</v>
      </c>
      <c r="E39" s="343"/>
      <c r="F39" s="343"/>
    </row>
    <row r="40" spans="1:6">
      <c r="A40" s="343"/>
      <c r="B40" s="361"/>
      <c r="C40" s="347" t="s">
        <v>141</v>
      </c>
      <c r="D40" s="348" t="s">
        <v>122</v>
      </c>
      <c r="E40" s="343"/>
      <c r="F40" s="343"/>
    </row>
    <row r="41" spans="1:6">
      <c r="A41" s="346">
        <v>9</v>
      </c>
      <c r="B41" s="347">
        <v>5116469</v>
      </c>
      <c r="C41" s="347" t="s">
        <v>1135</v>
      </c>
      <c r="D41" s="348" t="s">
        <v>1135</v>
      </c>
      <c r="E41" s="343"/>
      <c r="F41" s="343"/>
    </row>
    <row r="42" spans="1:6">
      <c r="A42" s="346"/>
      <c r="B42" s="347"/>
      <c r="C42" s="347" t="s">
        <v>1135</v>
      </c>
      <c r="D42" s="348" t="s">
        <v>1136</v>
      </c>
      <c r="E42" s="343"/>
      <c r="F42" s="343"/>
    </row>
    <row r="43" spans="1:6">
      <c r="A43" s="343"/>
      <c r="B43" s="361"/>
      <c r="C43" s="347" t="s">
        <v>1135</v>
      </c>
      <c r="D43" s="348" t="s">
        <v>1137</v>
      </c>
      <c r="E43" s="343"/>
      <c r="F43" s="343"/>
    </row>
    <row r="44" spans="1:6">
      <c r="A44" s="343"/>
      <c r="B44" s="361"/>
      <c r="C44" s="347" t="s">
        <v>1135</v>
      </c>
      <c r="D44" s="348" t="s">
        <v>149</v>
      </c>
      <c r="E44" s="343"/>
      <c r="F44" s="343"/>
    </row>
    <row r="45" spans="1:6">
      <c r="A45" s="343"/>
      <c r="B45" s="361"/>
      <c r="C45" s="347" t="s">
        <v>1135</v>
      </c>
      <c r="D45" s="348" t="s">
        <v>150</v>
      </c>
      <c r="E45" s="343"/>
      <c r="F45" s="343"/>
    </row>
    <row r="46" spans="1:6">
      <c r="A46" s="343"/>
      <c r="B46" s="361"/>
      <c r="C46" s="347" t="s">
        <v>1135</v>
      </c>
      <c r="D46" s="348" t="s">
        <v>122</v>
      </c>
      <c r="E46" s="343"/>
      <c r="F46" s="343"/>
    </row>
    <row r="47" spans="1:6">
      <c r="A47" s="346">
        <v>10</v>
      </c>
      <c r="B47" s="347">
        <v>5116489</v>
      </c>
      <c r="C47" s="347" t="s">
        <v>1138</v>
      </c>
      <c r="D47" s="348" t="s">
        <v>1138</v>
      </c>
      <c r="E47" s="343"/>
      <c r="F47" s="343"/>
    </row>
    <row r="48" spans="1:6">
      <c r="A48" s="343"/>
      <c r="B48" s="361"/>
      <c r="C48" s="347" t="s">
        <v>1138</v>
      </c>
      <c r="D48" s="348" t="s">
        <v>1139</v>
      </c>
      <c r="E48" s="343"/>
      <c r="F48" s="343"/>
    </row>
    <row r="49" spans="1:6">
      <c r="A49" s="343"/>
      <c r="B49" s="361"/>
      <c r="C49" s="347" t="s">
        <v>1138</v>
      </c>
      <c r="D49" s="348" t="s">
        <v>1140</v>
      </c>
      <c r="E49" s="343"/>
      <c r="F49" s="343"/>
    </row>
    <row r="50" spans="1:6">
      <c r="A50" s="343"/>
      <c r="B50" s="361"/>
      <c r="C50" s="347" t="s">
        <v>1138</v>
      </c>
      <c r="D50" s="348" t="s">
        <v>1141</v>
      </c>
      <c r="E50" s="343"/>
      <c r="F50" s="343"/>
    </row>
    <row r="51" spans="1:6">
      <c r="A51" s="346">
        <v>11</v>
      </c>
      <c r="B51" s="347">
        <v>5115983</v>
      </c>
      <c r="C51" s="347" t="s">
        <v>1142</v>
      </c>
      <c r="D51" s="348" t="s">
        <v>1143</v>
      </c>
      <c r="E51" s="343"/>
      <c r="F51" s="343"/>
    </row>
    <row r="52" spans="1:6">
      <c r="A52" s="346"/>
      <c r="B52" s="347"/>
      <c r="C52" s="347" t="s">
        <v>1142</v>
      </c>
      <c r="D52" s="348" t="s">
        <v>1144</v>
      </c>
      <c r="E52" s="343"/>
      <c r="F52" s="343"/>
    </row>
    <row r="53" spans="1:6">
      <c r="A53" s="343"/>
      <c r="B53" s="365"/>
      <c r="C53" s="347" t="s">
        <v>1142</v>
      </c>
      <c r="D53" s="357" t="s">
        <v>1145</v>
      </c>
      <c r="E53" s="343"/>
      <c r="F53" s="343"/>
    </row>
    <row r="54" spans="1:6">
      <c r="A54" s="343"/>
      <c r="B54" s="365"/>
      <c r="C54" s="347" t="s">
        <v>1142</v>
      </c>
      <c r="D54" s="348" t="s">
        <v>1146</v>
      </c>
      <c r="E54" s="343"/>
      <c r="F54" s="343"/>
    </row>
    <row r="55" spans="1:6">
      <c r="A55" s="343"/>
      <c r="B55" s="365"/>
      <c r="C55" s="347" t="s">
        <v>1142</v>
      </c>
      <c r="D55" s="348" t="s">
        <v>1147</v>
      </c>
      <c r="E55" s="343"/>
      <c r="F55" s="343"/>
    </row>
    <row r="56" spans="1:6">
      <c r="A56" s="343"/>
      <c r="B56" s="365"/>
      <c r="C56" s="347" t="s">
        <v>1142</v>
      </c>
      <c r="D56" s="348" t="s">
        <v>159</v>
      </c>
      <c r="E56" s="343"/>
      <c r="F56" s="343"/>
    </row>
    <row r="57" spans="1:6">
      <c r="A57" s="343"/>
      <c r="B57" s="361"/>
      <c r="C57" s="347" t="s">
        <v>1142</v>
      </c>
      <c r="D57" s="348" t="s">
        <v>160</v>
      </c>
      <c r="E57" s="343"/>
      <c r="F57" s="343"/>
    </row>
    <row r="58" spans="1:6">
      <c r="A58" s="346">
        <v>12</v>
      </c>
      <c r="B58" s="347">
        <v>5113633</v>
      </c>
      <c r="C58" s="347" t="s">
        <v>1148</v>
      </c>
      <c r="D58" s="348" t="s">
        <v>161</v>
      </c>
      <c r="E58" s="343"/>
      <c r="F58" s="343"/>
    </row>
    <row r="59" spans="1:6">
      <c r="A59" s="346"/>
      <c r="B59" s="347"/>
      <c r="C59" s="347" t="s">
        <v>1148</v>
      </c>
      <c r="D59" s="348" t="s">
        <v>1149</v>
      </c>
      <c r="E59" s="343"/>
      <c r="F59" s="343"/>
    </row>
    <row r="60" spans="1:6">
      <c r="A60" s="346"/>
      <c r="B60" s="347"/>
      <c r="C60" s="347" t="s">
        <v>1148</v>
      </c>
      <c r="D60" s="348" t="s">
        <v>1150</v>
      </c>
      <c r="E60" s="343"/>
      <c r="F60" s="343"/>
    </row>
    <row r="61" spans="1:6">
      <c r="A61" s="343"/>
      <c r="B61" s="361"/>
      <c r="C61" s="347" t="s">
        <v>1148</v>
      </c>
      <c r="D61" s="348" t="s">
        <v>1151</v>
      </c>
      <c r="E61" s="343"/>
      <c r="F61" s="343"/>
    </row>
    <row r="62" spans="1:6">
      <c r="A62" s="343"/>
      <c r="B62" s="361"/>
      <c r="C62" s="347" t="s">
        <v>1148</v>
      </c>
      <c r="D62" s="348" t="s">
        <v>1152</v>
      </c>
      <c r="E62" s="343"/>
      <c r="F62" s="343"/>
    </row>
    <row r="63" spans="1:6">
      <c r="A63" s="343"/>
      <c r="B63" s="361"/>
      <c r="C63" s="347" t="s">
        <v>1148</v>
      </c>
      <c r="D63" s="348" t="s">
        <v>122</v>
      </c>
      <c r="E63" s="343"/>
      <c r="F63" s="343"/>
    </row>
    <row r="64" spans="1:6">
      <c r="A64" s="346">
        <v>13</v>
      </c>
      <c r="B64" s="347">
        <v>5111997</v>
      </c>
      <c r="C64" s="347" t="s">
        <v>1153</v>
      </c>
      <c r="D64" s="348" t="s">
        <v>166</v>
      </c>
      <c r="E64" s="343"/>
      <c r="F64" s="343"/>
    </row>
    <row r="65" spans="1:6">
      <c r="A65" s="343"/>
      <c r="B65" s="361"/>
      <c r="C65" s="347" t="s">
        <v>1153</v>
      </c>
      <c r="D65" s="348" t="s">
        <v>1154</v>
      </c>
      <c r="E65" s="343"/>
      <c r="F65" s="343"/>
    </row>
    <row r="66" spans="1:6">
      <c r="A66" s="343"/>
      <c r="B66" s="361"/>
      <c r="C66" s="347" t="s">
        <v>1153</v>
      </c>
      <c r="D66" s="348" t="s">
        <v>1155</v>
      </c>
      <c r="E66" s="343"/>
      <c r="F66" s="343"/>
    </row>
    <row r="67" spans="1:6">
      <c r="A67" s="346">
        <v>14</v>
      </c>
      <c r="B67" s="347">
        <v>5111999</v>
      </c>
      <c r="C67" s="347" t="s">
        <v>1156</v>
      </c>
      <c r="D67" s="348" t="s">
        <v>166</v>
      </c>
      <c r="E67" s="343"/>
      <c r="F67" s="343"/>
    </row>
    <row r="68" spans="1:6">
      <c r="A68" s="343"/>
      <c r="B68" s="361"/>
      <c r="C68" s="347" t="s">
        <v>1156</v>
      </c>
      <c r="D68" s="348" t="s">
        <v>1157</v>
      </c>
      <c r="E68" s="343"/>
      <c r="F68" s="343"/>
    </row>
    <row r="69" spans="1:6">
      <c r="A69" s="343"/>
      <c r="B69" s="361"/>
      <c r="C69" s="347" t="s">
        <v>1156</v>
      </c>
      <c r="D69" s="348" t="s">
        <v>1158</v>
      </c>
      <c r="E69" s="343"/>
      <c r="F69" s="343"/>
    </row>
    <row r="70" spans="1:6">
      <c r="A70" s="343"/>
      <c r="B70" s="361"/>
      <c r="C70" s="347" t="s">
        <v>1156</v>
      </c>
      <c r="D70" s="348" t="s">
        <v>174</v>
      </c>
      <c r="E70" s="343"/>
      <c r="F70" s="343"/>
    </row>
    <row r="71" spans="1:6">
      <c r="A71" s="346">
        <v>1</v>
      </c>
      <c r="B71" s="347">
        <v>6200033</v>
      </c>
      <c r="C71" s="347" t="s">
        <v>1159</v>
      </c>
      <c r="D71" s="348" t="s">
        <v>1159</v>
      </c>
      <c r="E71" s="348"/>
      <c r="F71" s="343"/>
    </row>
    <row r="72" spans="1:6">
      <c r="A72" s="346"/>
      <c r="B72" s="347"/>
      <c r="C72" s="347" t="s">
        <v>1159</v>
      </c>
      <c r="D72" s="348" t="s">
        <v>1160</v>
      </c>
      <c r="E72" s="366"/>
      <c r="F72" s="343"/>
    </row>
    <row r="73" spans="1:6">
      <c r="A73" s="346"/>
      <c r="B73" s="347"/>
      <c r="C73" s="347" t="s">
        <v>1159</v>
      </c>
      <c r="D73" s="348" t="s">
        <v>1161</v>
      </c>
      <c r="E73" s="366"/>
      <c r="F73" s="343"/>
    </row>
    <row r="74" spans="1:6">
      <c r="A74" s="346"/>
      <c r="B74" s="347"/>
      <c r="C74" s="347" t="s">
        <v>1159</v>
      </c>
      <c r="D74" s="348" t="s">
        <v>1162</v>
      </c>
      <c r="E74" s="366"/>
      <c r="F74" s="343"/>
    </row>
    <row r="75" spans="1:6">
      <c r="A75" s="343"/>
      <c r="B75" s="361"/>
      <c r="C75" s="347" t="s">
        <v>1159</v>
      </c>
      <c r="D75" s="348" t="s">
        <v>1163</v>
      </c>
      <c r="E75" s="343"/>
      <c r="F75" s="343"/>
    </row>
    <row r="76" spans="1:6">
      <c r="A76" s="346">
        <v>15</v>
      </c>
      <c r="B76" s="347">
        <v>6100108</v>
      </c>
      <c r="C76" s="347" t="s">
        <v>863</v>
      </c>
      <c r="D76" s="348" t="s">
        <v>863</v>
      </c>
      <c r="E76" s="343"/>
      <c r="F76" s="343"/>
    </row>
    <row r="77" spans="1:6">
      <c r="A77" s="346"/>
      <c r="B77" s="347"/>
      <c r="C77" s="347" t="s">
        <v>863</v>
      </c>
      <c r="D77" s="348" t="s">
        <v>1164</v>
      </c>
      <c r="E77" s="343"/>
      <c r="F77" s="343"/>
    </row>
    <row r="78" spans="1:6">
      <c r="A78" s="346"/>
      <c r="B78" s="347"/>
      <c r="C78" s="347" t="s">
        <v>863</v>
      </c>
      <c r="D78" s="348" t="s">
        <v>1165</v>
      </c>
      <c r="E78" s="343"/>
      <c r="F78" s="343"/>
    </row>
    <row r="79" spans="1:6">
      <c r="A79" s="343"/>
      <c r="B79" s="361"/>
      <c r="C79" s="347" t="s">
        <v>863</v>
      </c>
      <c r="D79" s="348" t="s">
        <v>181</v>
      </c>
      <c r="E79" s="343"/>
      <c r="F79" s="343"/>
    </row>
    <row r="80" spans="1:6">
      <c r="A80" s="346">
        <v>16</v>
      </c>
      <c r="B80" s="347">
        <v>6100032</v>
      </c>
      <c r="C80" s="347" t="s">
        <v>1166</v>
      </c>
      <c r="D80" s="348" t="s">
        <v>1166</v>
      </c>
      <c r="E80" s="343"/>
      <c r="F80" s="343"/>
    </row>
    <row r="81" spans="1:6">
      <c r="A81" s="346"/>
      <c r="B81" s="347"/>
      <c r="C81" s="347" t="s">
        <v>1166</v>
      </c>
      <c r="D81" s="348" t="s">
        <v>1167</v>
      </c>
      <c r="E81" s="343"/>
      <c r="F81" s="343"/>
    </row>
    <row r="82" spans="1:6">
      <c r="A82" s="346"/>
      <c r="B82" s="347"/>
      <c r="C82" s="347" t="s">
        <v>1166</v>
      </c>
      <c r="D82" s="348" t="s">
        <v>1168</v>
      </c>
      <c r="E82" s="343"/>
      <c r="F82" s="343"/>
    </row>
    <row r="83" spans="1:6">
      <c r="A83" s="346"/>
      <c r="B83" s="347"/>
      <c r="C83" s="347" t="s">
        <v>1166</v>
      </c>
      <c r="D83" s="348" t="s">
        <v>1169</v>
      </c>
      <c r="E83" s="343"/>
      <c r="F83" s="343"/>
    </row>
    <row r="84" spans="1:6">
      <c r="A84" s="343"/>
      <c r="B84" s="365"/>
      <c r="C84" s="347" t="s">
        <v>1166</v>
      </c>
      <c r="D84" s="348" t="s">
        <v>184</v>
      </c>
      <c r="E84" s="343"/>
      <c r="F84" s="343"/>
    </row>
    <row r="85" spans="1:6">
      <c r="A85" s="346">
        <v>17</v>
      </c>
      <c r="B85" s="347">
        <v>6100248</v>
      </c>
      <c r="C85" s="347" t="s">
        <v>1170</v>
      </c>
      <c r="D85" s="348" t="s">
        <v>1170</v>
      </c>
      <c r="E85" s="343"/>
      <c r="F85" s="343"/>
    </row>
    <row r="86" spans="1:6">
      <c r="A86" s="346"/>
      <c r="B86" s="347"/>
      <c r="C86" s="347" t="s">
        <v>1170</v>
      </c>
      <c r="D86" s="348" t="s">
        <v>1171</v>
      </c>
      <c r="E86" s="343"/>
      <c r="F86" s="343"/>
    </row>
    <row r="87" spans="1:6">
      <c r="A87" s="346"/>
      <c r="B87" s="347"/>
      <c r="C87" s="347" t="s">
        <v>1170</v>
      </c>
      <c r="D87" s="348" t="s">
        <v>1172</v>
      </c>
      <c r="E87" s="343"/>
      <c r="F87" s="343"/>
    </row>
    <row r="88" spans="1:6">
      <c r="A88" s="343"/>
      <c r="B88" s="361"/>
      <c r="C88" s="347" t="s">
        <v>1170</v>
      </c>
      <c r="D88" s="348" t="s">
        <v>1173</v>
      </c>
      <c r="E88" s="343"/>
      <c r="F88" s="343"/>
    </row>
    <row r="89" spans="1:6">
      <c r="A89" s="343"/>
      <c r="B89" s="367"/>
      <c r="C89" s="367"/>
      <c r="D89" s="368"/>
      <c r="E89" s="343"/>
      <c r="F89" s="343"/>
    </row>
    <row r="90" spans="1:6">
      <c r="A90" s="346">
        <v>18</v>
      </c>
      <c r="B90" s="347">
        <v>6100035</v>
      </c>
      <c r="C90" s="347"/>
      <c r="D90" s="348" t="s">
        <v>1174</v>
      </c>
      <c r="E90" s="343"/>
      <c r="F90" s="343"/>
    </row>
    <row r="91" spans="1:6">
      <c r="A91" s="346"/>
      <c r="B91" s="347"/>
      <c r="C91" s="347"/>
      <c r="D91" s="348" t="s">
        <v>1175</v>
      </c>
      <c r="E91" s="343"/>
      <c r="F91" s="343"/>
    </row>
    <row r="92" spans="1:6">
      <c r="A92" s="343"/>
      <c r="B92" s="361"/>
      <c r="C92" s="361"/>
      <c r="D92" s="348" t="s">
        <v>1176</v>
      </c>
      <c r="E92" s="343"/>
      <c r="F92" s="343"/>
    </row>
    <row r="93" spans="1:6">
      <c r="A93" s="343"/>
      <c r="B93" s="361"/>
      <c r="C93" s="361"/>
      <c r="D93" s="348"/>
      <c r="E93" s="343"/>
      <c r="F93" s="343"/>
    </row>
    <row r="94" spans="1:6">
      <c r="A94" s="343"/>
      <c r="B94" s="361"/>
      <c r="C94" s="361"/>
      <c r="D94" s="348"/>
      <c r="E94" s="343"/>
      <c r="F94" s="343"/>
    </row>
    <row r="95" spans="1:6">
      <c r="A95" s="343"/>
      <c r="B95" s="361"/>
      <c r="C95" s="361"/>
      <c r="D95" s="348"/>
      <c r="E95" s="343"/>
      <c r="F95" s="343"/>
    </row>
    <row r="96" spans="1:6">
      <c r="A96" s="343"/>
      <c r="B96" s="367"/>
      <c r="C96" s="367"/>
      <c r="D96" s="368"/>
      <c r="E96" s="343"/>
      <c r="F96" s="343"/>
    </row>
    <row r="97" spans="1:6">
      <c r="A97" s="346">
        <v>19</v>
      </c>
      <c r="B97" s="347">
        <v>5200104</v>
      </c>
      <c r="C97" s="347"/>
      <c r="D97" s="348" t="s">
        <v>1177</v>
      </c>
      <c r="E97" s="343"/>
      <c r="F97" s="343"/>
    </row>
    <row r="98" spans="1:6">
      <c r="A98" s="343"/>
      <c r="B98" s="361"/>
      <c r="C98" s="361"/>
      <c r="D98" s="348" t="s">
        <v>1178</v>
      </c>
      <c r="E98" s="343"/>
      <c r="F98" s="343"/>
    </row>
    <row r="99" spans="1:6">
      <c r="A99" s="343"/>
      <c r="B99" s="367"/>
      <c r="C99" s="367"/>
      <c r="D99" s="368"/>
      <c r="E99" s="343"/>
      <c r="F99" s="343"/>
    </row>
    <row r="100" spans="1:6">
      <c r="A100" s="346">
        <v>20</v>
      </c>
      <c r="B100" s="347">
        <v>5113753</v>
      </c>
      <c r="C100" s="347"/>
      <c r="D100" s="348" t="s">
        <v>198</v>
      </c>
      <c r="E100" s="343"/>
      <c r="F100" s="343"/>
    </row>
    <row r="101" spans="1:6">
      <c r="A101" s="343"/>
      <c r="B101" s="361"/>
      <c r="C101" s="361"/>
      <c r="D101" s="348" t="s">
        <v>1179</v>
      </c>
      <c r="E101" s="343"/>
      <c r="F101" s="343"/>
    </row>
    <row r="102" spans="1:6">
      <c r="A102" s="343"/>
      <c r="B102" s="367"/>
      <c r="C102" s="367"/>
      <c r="D102" s="368"/>
      <c r="E102" s="343"/>
      <c r="F102" s="343"/>
    </row>
    <row r="103" spans="1:6">
      <c r="A103" s="346">
        <v>21</v>
      </c>
      <c r="B103" s="347">
        <v>5106390</v>
      </c>
      <c r="C103" s="347"/>
      <c r="D103" s="348" t="s">
        <v>201</v>
      </c>
      <c r="E103" s="369" t="s">
        <v>202</v>
      </c>
      <c r="F103" s="343"/>
    </row>
    <row r="104" spans="1:6">
      <c r="A104" s="343"/>
      <c r="B104" s="361"/>
      <c r="C104" s="361"/>
      <c r="D104" s="348" t="s">
        <v>203</v>
      </c>
      <c r="E104" s="369" t="s">
        <v>204</v>
      </c>
      <c r="F104" s="343"/>
    </row>
    <row r="105" spans="1:6">
      <c r="A105" s="343"/>
      <c r="B105" s="361"/>
      <c r="C105" s="361"/>
      <c r="D105" s="348" t="s">
        <v>205</v>
      </c>
      <c r="E105" s="343"/>
      <c r="F105" s="343"/>
    </row>
    <row r="106" spans="1:6">
      <c r="A106" s="343"/>
      <c r="B106" s="361"/>
      <c r="C106" s="361"/>
      <c r="D106" s="348" t="s">
        <v>206</v>
      </c>
      <c r="E106" s="343"/>
      <c r="F106" s="343"/>
    </row>
    <row r="107" spans="1:6">
      <c r="A107" s="343"/>
      <c r="B107" s="361"/>
      <c r="C107" s="361"/>
      <c r="D107" s="348" t="s">
        <v>207</v>
      </c>
      <c r="E107" s="343"/>
      <c r="F107" s="343"/>
    </row>
    <row r="108" spans="1:6">
      <c r="A108" s="343"/>
      <c r="B108" s="361"/>
      <c r="C108" s="361"/>
      <c r="D108" s="348" t="s">
        <v>122</v>
      </c>
      <c r="E108" s="343"/>
      <c r="F108" s="343"/>
    </row>
    <row r="109" spans="1:6">
      <c r="A109" s="343"/>
      <c r="B109" s="367"/>
      <c r="C109" s="367"/>
      <c r="D109" s="368"/>
      <c r="E109" s="343"/>
      <c r="F109" s="343"/>
    </row>
    <row r="110" spans="1:6">
      <c r="A110" s="343"/>
      <c r="B110" s="363">
        <v>5106390</v>
      </c>
      <c r="C110" s="363"/>
      <c r="D110" s="364" t="s">
        <v>208</v>
      </c>
      <c r="E110" s="370" t="s">
        <v>209</v>
      </c>
      <c r="F110" s="343"/>
    </row>
    <row r="111" spans="1:6">
      <c r="A111" s="343"/>
      <c r="B111" s="371"/>
      <c r="C111" s="371"/>
      <c r="D111" s="364" t="s">
        <v>203</v>
      </c>
      <c r="E111" s="343"/>
      <c r="F111" s="343"/>
    </row>
    <row r="112" spans="1:6">
      <c r="A112" s="343"/>
      <c r="B112" s="371"/>
      <c r="C112" s="371"/>
      <c r="D112" s="364" t="s">
        <v>210</v>
      </c>
      <c r="E112" s="343"/>
      <c r="F112" s="343"/>
    </row>
    <row r="113" spans="1:6">
      <c r="A113" s="343"/>
      <c r="B113" s="371"/>
      <c r="C113" s="371"/>
      <c r="D113" s="364" t="s">
        <v>211</v>
      </c>
      <c r="E113" s="343"/>
      <c r="F113" s="343"/>
    </row>
    <row r="114" spans="1:6">
      <c r="A114" s="343"/>
      <c r="B114" s="371"/>
      <c r="C114" s="371"/>
      <c r="D114" s="364" t="s">
        <v>207</v>
      </c>
      <c r="E114" s="343"/>
      <c r="F114" s="343"/>
    </row>
    <row r="115" spans="1:6">
      <c r="A115" s="343"/>
      <c r="B115" s="371"/>
      <c r="C115" s="371"/>
      <c r="D115" s="364" t="s">
        <v>122</v>
      </c>
      <c r="E115" s="343"/>
      <c r="F115" s="343"/>
    </row>
    <row r="116" spans="1:6">
      <c r="A116" s="343"/>
      <c r="B116" s="367"/>
      <c r="C116" s="367"/>
      <c r="D116" s="368"/>
      <c r="E116" s="343"/>
      <c r="F116" s="343"/>
    </row>
    <row r="117" spans="1:6">
      <c r="A117" s="346">
        <v>22</v>
      </c>
      <c r="B117" s="347">
        <v>5106391</v>
      </c>
      <c r="C117" s="347"/>
      <c r="D117" s="348" t="s">
        <v>201</v>
      </c>
      <c r="E117" s="369" t="s">
        <v>212</v>
      </c>
      <c r="F117" s="343"/>
    </row>
    <row r="118" spans="1:6">
      <c r="A118" s="343"/>
      <c r="B118" s="361"/>
      <c r="C118" s="361"/>
      <c r="D118" s="348" t="s">
        <v>203</v>
      </c>
      <c r="E118" s="369" t="s">
        <v>213</v>
      </c>
      <c r="F118" s="343"/>
    </row>
    <row r="119" spans="1:6">
      <c r="A119" s="343"/>
      <c r="B119" s="361"/>
      <c r="C119" s="361"/>
      <c r="D119" s="348" t="s">
        <v>214</v>
      </c>
      <c r="E119" s="343"/>
      <c r="F119" s="343"/>
    </row>
    <row r="120" spans="1:6">
      <c r="A120" s="343"/>
      <c r="B120" s="361"/>
      <c r="C120" s="361"/>
      <c r="D120" s="348" t="s">
        <v>215</v>
      </c>
      <c r="E120" s="343"/>
      <c r="F120" s="343"/>
    </row>
    <row r="121" spans="1:6">
      <c r="A121" s="343"/>
      <c r="B121" s="361"/>
      <c r="C121" s="361"/>
      <c r="D121" s="348" t="s">
        <v>216</v>
      </c>
      <c r="E121" s="343"/>
      <c r="F121" s="343"/>
    </row>
    <row r="122" spans="1:6">
      <c r="A122" s="343"/>
      <c r="B122" s="361"/>
      <c r="C122" s="361"/>
      <c r="D122" s="348" t="s">
        <v>207</v>
      </c>
      <c r="E122" s="343"/>
      <c r="F122" s="343"/>
    </row>
    <row r="123" spans="1:6">
      <c r="A123" s="343"/>
      <c r="B123" s="361"/>
      <c r="C123" s="361"/>
      <c r="D123" s="348" t="s">
        <v>122</v>
      </c>
      <c r="E123" s="343"/>
      <c r="F123" s="343"/>
    </row>
    <row r="124" spans="1:6">
      <c r="A124" s="343"/>
      <c r="B124" s="367"/>
      <c r="C124" s="367"/>
      <c r="D124" s="368"/>
      <c r="E124" s="343"/>
      <c r="F124" s="343"/>
    </row>
    <row r="125" spans="1:6">
      <c r="A125" s="346">
        <v>23</v>
      </c>
      <c r="B125" s="347">
        <v>6100085</v>
      </c>
      <c r="C125" s="347"/>
      <c r="D125" s="348" t="s">
        <v>217</v>
      </c>
      <c r="E125" s="343"/>
      <c r="F125" s="343"/>
    </row>
    <row r="126" spans="1:6">
      <c r="A126" s="343"/>
      <c r="B126" s="361"/>
      <c r="C126" s="361"/>
      <c r="D126" s="348" t="s">
        <v>1180</v>
      </c>
      <c r="E126" s="343"/>
      <c r="F126" s="343"/>
    </row>
    <row r="127" spans="1:6">
      <c r="A127" s="343"/>
      <c r="B127" s="361"/>
      <c r="C127" s="361"/>
      <c r="D127" s="348" t="s">
        <v>218</v>
      </c>
      <c r="E127" s="343"/>
      <c r="F127" s="343"/>
    </row>
    <row r="128" spans="1:6">
      <c r="A128" s="343"/>
      <c r="B128" s="361"/>
      <c r="C128" s="361"/>
      <c r="D128" s="348" t="s">
        <v>1181</v>
      </c>
      <c r="E128" s="343"/>
      <c r="F128" s="343"/>
    </row>
    <row r="129" spans="1:6">
      <c r="A129" s="343"/>
      <c r="B129" s="361"/>
      <c r="C129" s="361"/>
      <c r="D129" s="348" t="s">
        <v>220</v>
      </c>
      <c r="E129" s="343"/>
      <c r="F129" s="343"/>
    </row>
    <row r="130" spans="1:6">
      <c r="A130" s="343"/>
      <c r="B130" s="367"/>
      <c r="C130" s="367"/>
      <c r="D130" s="368"/>
      <c r="E130" s="343"/>
      <c r="F130" s="343"/>
    </row>
    <row r="131" spans="1:6">
      <c r="A131" s="346">
        <v>24</v>
      </c>
      <c r="B131" s="363">
        <v>5103486</v>
      </c>
      <c r="C131" s="363"/>
      <c r="D131" s="348" t="s">
        <v>1182</v>
      </c>
      <c r="E131" s="363">
        <v>5103487</v>
      </c>
      <c r="F131" s="357" t="s">
        <v>1182</v>
      </c>
    </row>
    <row r="132" spans="1:6">
      <c r="A132" s="343"/>
      <c r="B132" s="372" t="s">
        <v>222</v>
      </c>
      <c r="C132" s="372"/>
      <c r="D132" s="348" t="s">
        <v>225</v>
      </c>
      <c r="E132" s="363" t="s">
        <v>202</v>
      </c>
      <c r="F132" s="357" t="s">
        <v>226</v>
      </c>
    </row>
    <row r="133" spans="1:6">
      <c r="A133" s="343"/>
      <c r="B133" s="361"/>
      <c r="C133" s="361"/>
      <c r="D133" s="348" t="s">
        <v>224</v>
      </c>
      <c r="E133" s="373"/>
      <c r="F133" s="357" t="s">
        <v>228</v>
      </c>
    </row>
    <row r="134" spans="1:6">
      <c r="A134" s="343"/>
      <c r="B134" s="361"/>
      <c r="C134" s="361"/>
      <c r="D134" s="348" t="s">
        <v>227</v>
      </c>
      <c r="E134" s="373"/>
      <c r="F134" s="357" t="s">
        <v>230</v>
      </c>
    </row>
    <row r="135" spans="1:6">
      <c r="A135" s="343"/>
      <c r="B135" s="361"/>
      <c r="C135" s="361"/>
      <c r="D135" s="348" t="s">
        <v>122</v>
      </c>
      <c r="E135" s="373"/>
      <c r="F135" s="357" t="s">
        <v>231</v>
      </c>
    </row>
    <row r="136" spans="1:6">
      <c r="A136" s="343"/>
      <c r="B136" s="367"/>
      <c r="C136" s="367"/>
      <c r="D136" s="368"/>
      <c r="E136" s="374"/>
      <c r="F136" s="374"/>
    </row>
    <row r="137" spans="1:6">
      <c r="A137" s="346">
        <v>25</v>
      </c>
      <c r="B137" s="347">
        <v>5112082</v>
      </c>
      <c r="C137" s="347"/>
      <c r="D137" s="348" t="s">
        <v>241</v>
      </c>
      <c r="E137" s="343"/>
      <c r="F137" s="343"/>
    </row>
    <row r="138" spans="1:6">
      <c r="A138" s="343"/>
      <c r="B138" s="361"/>
      <c r="C138" s="361"/>
      <c r="D138" s="348" t="s">
        <v>243</v>
      </c>
      <c r="E138" s="343"/>
      <c r="F138" s="343"/>
    </row>
    <row r="139" spans="1:6">
      <c r="A139" s="343"/>
      <c r="B139" s="361"/>
      <c r="C139" s="361"/>
      <c r="D139" s="348" t="s">
        <v>244</v>
      </c>
      <c r="E139" s="343"/>
      <c r="F139" s="343"/>
    </row>
    <row r="140" spans="1:6">
      <c r="A140" s="343"/>
      <c r="B140" s="361"/>
      <c r="C140" s="361"/>
      <c r="D140" s="348" t="s">
        <v>245</v>
      </c>
      <c r="E140" s="343"/>
      <c r="F140" s="343"/>
    </row>
    <row r="141" spans="1:6">
      <c r="A141" s="343"/>
      <c r="B141" s="361"/>
      <c r="C141" s="361"/>
      <c r="D141" s="348" t="s">
        <v>121</v>
      </c>
      <c r="E141" s="343"/>
      <c r="F141" s="343"/>
    </row>
    <row r="142" spans="1:6">
      <c r="A142" s="343"/>
      <c r="B142" s="361"/>
      <c r="C142" s="361"/>
      <c r="D142" s="348" t="s">
        <v>122</v>
      </c>
      <c r="E142" s="343"/>
      <c r="F142" s="343"/>
    </row>
    <row r="143" spans="1:6">
      <c r="A143" s="343"/>
      <c r="B143" s="367"/>
      <c r="C143" s="367"/>
      <c r="D143" s="368"/>
      <c r="E143" s="343"/>
      <c r="F143" s="343"/>
    </row>
    <row r="144" spans="1:6">
      <c r="A144" s="346">
        <v>26</v>
      </c>
      <c r="B144" s="347">
        <v>6200078</v>
      </c>
      <c r="C144" s="347"/>
      <c r="D144" s="348" t="s">
        <v>246</v>
      </c>
      <c r="E144" s="343"/>
      <c r="F144" s="343"/>
    </row>
    <row r="145" spans="1:6">
      <c r="A145" s="343"/>
      <c r="B145" s="361"/>
      <c r="C145" s="361"/>
      <c r="D145" s="348" t="s">
        <v>247</v>
      </c>
      <c r="E145" s="343"/>
      <c r="F145" s="343"/>
    </row>
    <row r="146" spans="1:6">
      <c r="A146" s="343"/>
      <c r="B146" s="361"/>
      <c r="C146" s="361"/>
      <c r="D146" s="348" t="s">
        <v>248</v>
      </c>
      <c r="E146" s="343"/>
      <c r="F146" s="343"/>
    </row>
    <row r="147" spans="1:6">
      <c r="A147" s="343"/>
      <c r="B147" s="361"/>
      <c r="C147" s="361"/>
      <c r="D147" s="348" t="s">
        <v>249</v>
      </c>
      <c r="E147" s="343"/>
      <c r="F147" s="343"/>
    </row>
    <row r="148" spans="1:6">
      <c r="A148" s="343"/>
      <c r="B148" s="367"/>
      <c r="C148" s="367"/>
      <c r="D148" s="368"/>
      <c r="E148" s="343"/>
      <c r="F148" s="343"/>
    </row>
    <row r="149" spans="1:6">
      <c r="A149" s="346">
        <v>27</v>
      </c>
      <c r="B149" s="347">
        <v>6100250</v>
      </c>
      <c r="C149" s="347"/>
      <c r="D149" s="348" t="s">
        <v>246</v>
      </c>
      <c r="E149" s="343"/>
      <c r="F149" s="343"/>
    </row>
    <row r="150" spans="1:6">
      <c r="A150" s="343"/>
      <c r="B150" s="361"/>
      <c r="C150" s="361"/>
      <c r="D150" s="348" t="s">
        <v>250</v>
      </c>
      <c r="E150" s="343"/>
      <c r="F150" s="343"/>
    </row>
    <row r="151" spans="1:6">
      <c r="A151" s="343"/>
      <c r="B151" s="361"/>
      <c r="C151" s="361"/>
      <c r="D151" s="348" t="s">
        <v>251</v>
      </c>
      <c r="E151" s="343"/>
      <c r="F151" s="343"/>
    </row>
    <row r="152" spans="1:6">
      <c r="A152" s="343"/>
      <c r="B152" s="361"/>
      <c r="C152" s="361"/>
      <c r="D152" s="348" t="s">
        <v>252</v>
      </c>
      <c r="E152" s="343"/>
      <c r="F152" s="343"/>
    </row>
    <row r="153" spans="1:6">
      <c r="A153" s="343"/>
      <c r="B153" s="367"/>
      <c r="C153" s="367"/>
      <c r="D153" s="368"/>
      <c r="E153" s="343"/>
      <c r="F153" s="343"/>
    </row>
    <row r="154" spans="1:6">
      <c r="A154" s="346">
        <v>28</v>
      </c>
      <c r="B154" s="347">
        <v>6100257</v>
      </c>
      <c r="C154" s="347"/>
      <c r="D154" s="348" t="s">
        <v>253</v>
      </c>
      <c r="E154" s="343"/>
      <c r="F154" s="343"/>
    </row>
    <row r="155" spans="1:6">
      <c r="A155" s="343"/>
      <c r="B155" s="361"/>
      <c r="C155" s="361"/>
      <c r="D155" s="348" t="s">
        <v>1183</v>
      </c>
      <c r="E155" s="343"/>
      <c r="F155" s="343"/>
    </row>
    <row r="156" spans="1:6">
      <c r="A156" s="343"/>
      <c r="B156" s="361"/>
      <c r="C156" s="361"/>
      <c r="D156" s="348" t="s">
        <v>1184</v>
      </c>
      <c r="E156" s="343"/>
      <c r="F156" s="343"/>
    </row>
    <row r="157" spans="1:6">
      <c r="A157" s="343"/>
      <c r="B157" s="361"/>
      <c r="C157" s="361"/>
      <c r="D157" s="348" t="s">
        <v>1185</v>
      </c>
      <c r="E157" s="343"/>
      <c r="F157" s="343"/>
    </row>
    <row r="158" spans="1:6">
      <c r="A158" s="343"/>
      <c r="B158" s="361"/>
      <c r="C158" s="361"/>
      <c r="D158" s="348" t="s">
        <v>256</v>
      </c>
      <c r="E158" s="343"/>
      <c r="F158" s="343"/>
    </row>
    <row r="159" spans="1:6">
      <c r="A159" s="343"/>
      <c r="B159" s="367"/>
      <c r="C159" s="367"/>
      <c r="D159" s="368"/>
      <c r="E159" s="343"/>
      <c r="F159" s="343"/>
    </row>
    <row r="160" spans="1:6">
      <c r="A160" s="343"/>
      <c r="B160" s="347">
        <v>6100106</v>
      </c>
      <c r="C160" s="347"/>
      <c r="D160" s="348" t="s">
        <v>257</v>
      </c>
      <c r="E160" s="343"/>
      <c r="F160" s="343"/>
    </row>
    <row r="161" spans="1:6">
      <c r="A161" s="343"/>
      <c r="B161" s="361"/>
      <c r="C161" s="361"/>
      <c r="D161" s="348" t="s">
        <v>258</v>
      </c>
      <c r="E161" s="343"/>
      <c r="F161" s="343"/>
    </row>
    <row r="162" spans="1:6">
      <c r="A162" s="343"/>
      <c r="B162" s="361"/>
      <c r="C162" s="361"/>
      <c r="D162" s="348" t="s">
        <v>259</v>
      </c>
      <c r="E162" s="343"/>
      <c r="F162" s="343"/>
    </row>
    <row r="163" spans="1:6">
      <c r="A163" s="343"/>
      <c r="B163" s="361"/>
      <c r="C163" s="361"/>
      <c r="D163" s="348" t="s">
        <v>260</v>
      </c>
      <c r="E163" s="343"/>
      <c r="F163" s="343"/>
    </row>
    <row r="164" spans="1:6">
      <c r="A164" s="343"/>
      <c r="B164" s="361"/>
      <c r="C164" s="361"/>
      <c r="D164" s="348" t="s">
        <v>261</v>
      </c>
      <c r="E164" s="343"/>
      <c r="F164" s="343"/>
    </row>
    <row r="165" spans="1:6">
      <c r="A165" s="343"/>
      <c r="B165" s="367"/>
      <c r="C165" s="367"/>
      <c r="D165" s="368"/>
      <c r="E165" s="343"/>
      <c r="F165" s="343"/>
    </row>
    <row r="166" spans="1:6">
      <c r="A166" s="346">
        <v>30</v>
      </c>
      <c r="B166" s="347">
        <v>6100234</v>
      </c>
      <c r="C166" s="347"/>
      <c r="D166" s="348" t="s">
        <v>262</v>
      </c>
      <c r="E166" s="343"/>
      <c r="F166" s="343"/>
    </row>
    <row r="167" spans="1:6">
      <c r="A167" s="343"/>
      <c r="B167" s="361"/>
      <c r="C167" s="361"/>
      <c r="D167" s="348" t="s">
        <v>263</v>
      </c>
      <c r="E167" s="343"/>
      <c r="F167" s="343"/>
    </row>
    <row r="168" spans="1:6">
      <c r="A168" s="343"/>
      <c r="B168" s="361"/>
      <c r="C168" s="361"/>
      <c r="D168" s="348" t="s">
        <v>264</v>
      </c>
      <c r="E168" s="343"/>
      <c r="F168" s="343"/>
    </row>
    <row r="169" spans="1:6">
      <c r="A169" s="343"/>
      <c r="B169" s="361"/>
      <c r="C169" s="361"/>
      <c r="D169" s="348" t="s">
        <v>265</v>
      </c>
      <c r="E169" s="343"/>
      <c r="F169" s="343"/>
    </row>
    <row r="170" spans="1:6">
      <c r="A170" s="343"/>
      <c r="B170" s="367"/>
      <c r="C170" s="367"/>
      <c r="D170" s="368"/>
      <c r="E170" s="343"/>
      <c r="F170" s="343"/>
    </row>
    <row r="171" spans="1:6">
      <c r="A171" s="346">
        <v>31</v>
      </c>
      <c r="B171" s="347">
        <v>6100090</v>
      </c>
      <c r="C171" s="347"/>
      <c r="D171" s="348" t="s">
        <v>266</v>
      </c>
      <c r="E171" s="343"/>
      <c r="F171" s="343"/>
    </row>
    <row r="172" spans="1:6">
      <c r="A172" s="343"/>
      <c r="B172" s="361"/>
      <c r="C172" s="361"/>
      <c r="D172" s="348" t="s">
        <v>267</v>
      </c>
      <c r="E172" s="343"/>
      <c r="F172" s="343"/>
    </row>
    <row r="173" spans="1:6">
      <c r="A173" s="343"/>
      <c r="B173" s="361"/>
      <c r="C173" s="361"/>
      <c r="D173" s="348" t="s">
        <v>268</v>
      </c>
      <c r="E173" s="343"/>
      <c r="F173" s="343"/>
    </row>
    <row r="174" spans="1:6">
      <c r="A174" s="343"/>
      <c r="B174" s="361"/>
      <c r="C174" s="361"/>
      <c r="D174" s="348" t="s">
        <v>269</v>
      </c>
      <c r="E174" s="343"/>
      <c r="F174" s="343"/>
    </row>
    <row r="175" spans="1:6">
      <c r="A175" s="343"/>
      <c r="B175" s="367"/>
      <c r="C175" s="367"/>
      <c r="D175" s="368"/>
      <c r="E175" s="343"/>
      <c r="F175" s="343"/>
    </row>
    <row r="176" spans="1:6">
      <c r="A176" s="346">
        <v>32</v>
      </c>
      <c r="B176" s="347">
        <v>6100034</v>
      </c>
      <c r="C176" s="347"/>
      <c r="D176" s="348" t="s">
        <v>270</v>
      </c>
      <c r="E176" s="343"/>
      <c r="F176" s="343"/>
    </row>
    <row r="177" spans="1:6">
      <c r="A177" s="343"/>
      <c r="B177" s="361"/>
      <c r="C177" s="361"/>
      <c r="D177" s="348" t="s">
        <v>271</v>
      </c>
      <c r="E177" s="343"/>
      <c r="F177" s="343"/>
    </row>
    <row r="178" spans="1:6">
      <c r="A178" s="343"/>
      <c r="B178" s="361"/>
      <c r="C178" s="361"/>
      <c r="D178" s="348" t="s">
        <v>272</v>
      </c>
      <c r="E178" s="343"/>
      <c r="F178" s="343"/>
    </row>
    <row r="179" spans="1:6">
      <c r="A179" s="343"/>
      <c r="B179" s="361"/>
      <c r="C179" s="361"/>
      <c r="D179" s="348" t="s">
        <v>273</v>
      </c>
      <c r="E179" s="343"/>
      <c r="F179" s="343"/>
    </row>
    <row r="180" spans="1:6">
      <c r="A180" s="343"/>
      <c r="B180" s="361"/>
      <c r="C180" s="361"/>
      <c r="D180" s="348" t="s">
        <v>274</v>
      </c>
      <c r="E180" s="343"/>
      <c r="F180" s="343"/>
    </row>
    <row r="181" spans="1:6">
      <c r="A181" s="343"/>
      <c r="B181" s="361"/>
      <c r="C181" s="361"/>
      <c r="D181" s="348" t="s">
        <v>275</v>
      </c>
      <c r="E181" s="343"/>
      <c r="F181" s="343"/>
    </row>
    <row r="182" spans="1:6">
      <c r="A182" s="343"/>
      <c r="B182" s="361"/>
      <c r="C182" s="361"/>
      <c r="D182" s="348" t="s">
        <v>276</v>
      </c>
      <c r="E182" s="343"/>
      <c r="F182" s="343"/>
    </row>
    <row r="183" spans="1:6">
      <c r="A183" s="343"/>
      <c r="B183" s="367"/>
      <c r="C183" s="367"/>
      <c r="D183" s="368"/>
      <c r="E183" s="343"/>
      <c r="F183" s="343"/>
    </row>
    <row r="184" spans="1:6">
      <c r="A184" s="346">
        <v>33</v>
      </c>
      <c r="B184" s="347">
        <v>6100255</v>
      </c>
      <c r="C184" s="347"/>
      <c r="D184" s="348" t="s">
        <v>277</v>
      </c>
      <c r="E184" s="343"/>
      <c r="F184" s="343"/>
    </row>
    <row r="185" spans="1:6">
      <c r="A185" s="343"/>
      <c r="B185" s="361"/>
      <c r="C185" s="361"/>
      <c r="D185" s="348" t="s">
        <v>278</v>
      </c>
      <c r="E185" s="343"/>
      <c r="F185" s="343"/>
    </row>
    <row r="186" spans="1:6">
      <c r="A186" s="343"/>
      <c r="B186" s="361"/>
      <c r="C186" s="361"/>
      <c r="D186" s="348" t="s">
        <v>279</v>
      </c>
      <c r="E186" s="343"/>
      <c r="F186" s="343"/>
    </row>
    <row r="187" spans="1:6">
      <c r="A187" s="343"/>
      <c r="B187" s="361"/>
      <c r="C187" s="361"/>
      <c r="D187" s="348" t="s">
        <v>280</v>
      </c>
      <c r="E187" s="343"/>
      <c r="F187" s="343"/>
    </row>
    <row r="188" spans="1:6">
      <c r="A188" s="343"/>
      <c r="B188" s="367"/>
      <c r="C188" s="367"/>
      <c r="D188" s="368"/>
      <c r="E188" s="343"/>
      <c r="F188" s="343"/>
    </row>
    <row r="189" spans="1:6">
      <c r="A189" s="346">
        <v>34</v>
      </c>
      <c r="B189" s="347">
        <v>6100256</v>
      </c>
      <c r="C189" s="347"/>
      <c r="D189" s="348" t="s">
        <v>277</v>
      </c>
      <c r="E189" s="343"/>
      <c r="F189" s="343"/>
    </row>
    <row r="190" spans="1:6">
      <c r="A190" s="343"/>
      <c r="B190" s="361"/>
      <c r="C190" s="361"/>
      <c r="D190" s="348" t="s">
        <v>281</v>
      </c>
      <c r="E190" s="343"/>
      <c r="F190" s="343"/>
    </row>
    <row r="191" spans="1:6">
      <c r="A191" s="343"/>
      <c r="B191" s="361"/>
      <c r="C191" s="361"/>
      <c r="D191" s="348" t="s">
        <v>282</v>
      </c>
      <c r="E191" s="343"/>
      <c r="F191" s="343"/>
    </row>
    <row r="192" spans="1:6">
      <c r="A192" s="343"/>
      <c r="B192" s="361"/>
      <c r="C192" s="361"/>
      <c r="D192" s="348" t="s">
        <v>280</v>
      </c>
      <c r="E192" s="343"/>
      <c r="F192" s="343"/>
    </row>
    <row r="193" spans="1:6">
      <c r="A193" s="343"/>
      <c r="B193" s="367"/>
      <c r="C193" s="367"/>
      <c r="D193" s="368"/>
      <c r="E193" s="343"/>
      <c r="F193" s="343"/>
    </row>
    <row r="194" spans="1:6">
      <c r="A194" s="346">
        <v>35</v>
      </c>
      <c r="B194" s="347">
        <v>6100069</v>
      </c>
      <c r="C194" s="347"/>
      <c r="D194" s="348" t="s">
        <v>283</v>
      </c>
      <c r="E194" s="343"/>
      <c r="F194" s="343"/>
    </row>
    <row r="195" spans="1:6">
      <c r="A195" s="343"/>
      <c r="B195" s="361"/>
      <c r="C195" s="361"/>
      <c r="D195" s="348" t="s">
        <v>284</v>
      </c>
      <c r="E195" s="343"/>
      <c r="F195" s="343"/>
    </row>
    <row r="196" spans="1:6">
      <c r="A196" s="343"/>
      <c r="B196" s="361"/>
      <c r="C196" s="361"/>
      <c r="D196" s="348" t="s">
        <v>285</v>
      </c>
      <c r="E196" s="343"/>
      <c r="F196" s="343"/>
    </row>
    <row r="197" spans="1:6">
      <c r="A197" s="343"/>
      <c r="B197" s="361"/>
      <c r="C197" s="361"/>
      <c r="D197" s="348" t="s">
        <v>286</v>
      </c>
      <c r="E197" s="343"/>
      <c r="F197" s="343"/>
    </row>
    <row r="198" spans="1:6">
      <c r="A198" s="343"/>
      <c r="B198" s="361"/>
      <c r="C198" s="361"/>
      <c r="D198" s="348" t="s">
        <v>284</v>
      </c>
      <c r="E198" s="343"/>
      <c r="F198" s="343"/>
    </row>
    <row r="199" spans="1:6">
      <c r="A199" s="343"/>
      <c r="B199" s="367"/>
      <c r="C199" s="367"/>
      <c r="D199" s="368"/>
      <c r="E199" s="343"/>
      <c r="F199" s="343"/>
    </row>
    <row r="200" spans="1:6">
      <c r="A200" s="346">
        <v>36</v>
      </c>
      <c r="B200" s="347">
        <v>6100055</v>
      </c>
      <c r="C200" s="347"/>
      <c r="D200" s="348" t="s">
        <v>287</v>
      </c>
      <c r="E200" s="343"/>
      <c r="F200" s="343"/>
    </row>
    <row r="201" spans="1:6">
      <c r="A201" s="343"/>
      <c r="B201" s="361"/>
      <c r="C201" s="361"/>
      <c r="D201" s="348" t="s">
        <v>288</v>
      </c>
      <c r="E201" s="343"/>
      <c r="F201" s="343"/>
    </row>
    <row r="202" spans="1:6">
      <c r="A202" s="343"/>
      <c r="B202" s="361"/>
      <c r="C202" s="361"/>
      <c r="D202" s="348" t="s">
        <v>289</v>
      </c>
      <c r="E202" s="343"/>
      <c r="F202" s="343"/>
    </row>
    <row r="203" spans="1:6">
      <c r="A203" s="343"/>
      <c r="B203" s="361"/>
      <c r="C203" s="361"/>
      <c r="D203" s="348" t="s">
        <v>1186</v>
      </c>
      <c r="E203" s="343"/>
      <c r="F203" s="343"/>
    </row>
    <row r="204" spans="1:6">
      <c r="A204" s="343"/>
      <c r="B204" s="361"/>
      <c r="C204" s="361"/>
      <c r="D204" s="348" t="s">
        <v>291</v>
      </c>
      <c r="E204" s="343"/>
      <c r="F204" s="343"/>
    </row>
    <row r="205" spans="1:6">
      <c r="A205" s="343"/>
      <c r="B205" s="361"/>
      <c r="C205" s="361"/>
      <c r="D205" s="348" t="s">
        <v>220</v>
      </c>
      <c r="E205" s="343"/>
      <c r="F205" s="343"/>
    </row>
    <row r="206" spans="1:6">
      <c r="A206" s="343"/>
      <c r="B206" s="367"/>
      <c r="C206" s="367"/>
      <c r="D206" s="368"/>
      <c r="E206" s="343"/>
      <c r="F206" s="343"/>
    </row>
    <row r="207" spans="1:6">
      <c r="A207" s="346">
        <v>37</v>
      </c>
      <c r="B207" s="347">
        <v>6200019</v>
      </c>
      <c r="C207" s="347"/>
      <c r="D207" s="348" t="s">
        <v>292</v>
      </c>
      <c r="E207" s="343"/>
      <c r="F207" s="343"/>
    </row>
    <row r="208" spans="1:6">
      <c r="A208" s="343"/>
      <c r="B208" s="361"/>
      <c r="C208" s="361"/>
      <c r="D208" s="348" t="s">
        <v>293</v>
      </c>
      <c r="E208" s="343"/>
      <c r="F208" s="343"/>
    </row>
    <row r="209" spans="1:6">
      <c r="A209" s="343"/>
      <c r="B209" s="361"/>
      <c r="C209" s="361"/>
      <c r="D209" s="348" t="s">
        <v>294</v>
      </c>
      <c r="E209" s="343"/>
      <c r="F209" s="343"/>
    </row>
    <row r="210" spans="1:6">
      <c r="A210" s="343"/>
      <c r="B210" s="361"/>
      <c r="C210" s="361"/>
      <c r="D210" s="348" t="s">
        <v>220</v>
      </c>
      <c r="E210" s="343"/>
      <c r="F210" s="343"/>
    </row>
    <row r="211" spans="1:6">
      <c r="A211" s="343"/>
      <c r="B211" s="367"/>
      <c r="C211" s="367"/>
      <c r="D211" s="368"/>
      <c r="E211" s="343"/>
      <c r="F211" s="343"/>
    </row>
    <row r="212" spans="1:6">
      <c r="A212" s="346">
        <v>38</v>
      </c>
      <c r="B212" s="347">
        <v>6100194</v>
      </c>
      <c r="C212" s="347"/>
      <c r="D212" s="348" t="s">
        <v>295</v>
      </c>
      <c r="E212" s="343"/>
      <c r="F212" s="343"/>
    </row>
    <row r="213" spans="1:6">
      <c r="A213" s="343"/>
      <c r="B213" s="361"/>
      <c r="C213" s="361"/>
      <c r="D213" s="348" t="s">
        <v>1187</v>
      </c>
      <c r="E213" s="343"/>
      <c r="F213" s="343"/>
    </row>
    <row r="214" spans="1:6">
      <c r="A214" s="343"/>
      <c r="B214" s="361"/>
      <c r="C214" s="361"/>
      <c r="D214" s="348" t="s">
        <v>1188</v>
      </c>
      <c r="E214" s="343"/>
      <c r="F214" s="343"/>
    </row>
    <row r="215" spans="1:6">
      <c r="A215" s="343"/>
      <c r="B215" s="361"/>
      <c r="C215" s="361"/>
      <c r="D215" s="348" t="s">
        <v>1189</v>
      </c>
      <c r="E215" s="343"/>
      <c r="F215" s="343"/>
    </row>
    <row r="216" spans="1:6">
      <c r="A216" s="343"/>
      <c r="B216" s="361"/>
      <c r="C216" s="361"/>
      <c r="D216" s="348" t="s">
        <v>299</v>
      </c>
      <c r="E216" s="343"/>
      <c r="F216" s="343"/>
    </row>
    <row r="217" spans="1:6">
      <c r="A217" s="343"/>
      <c r="B217" s="361"/>
      <c r="C217" s="361"/>
      <c r="D217" s="348" t="s">
        <v>300</v>
      </c>
      <c r="E217" s="343"/>
      <c r="F217" s="343"/>
    </row>
    <row r="218" spans="1:6">
      <c r="A218" s="343"/>
      <c r="B218" s="367"/>
      <c r="C218" s="367"/>
      <c r="D218" s="368"/>
      <c r="E218" s="343"/>
      <c r="F218" s="343"/>
    </row>
    <row r="219" spans="1:6">
      <c r="A219" s="346">
        <v>39</v>
      </c>
      <c r="B219" s="347">
        <v>6100137</v>
      </c>
      <c r="C219" s="347"/>
      <c r="D219" s="348" t="s">
        <v>301</v>
      </c>
      <c r="E219" s="343"/>
      <c r="F219" s="343"/>
    </row>
    <row r="220" spans="1:6">
      <c r="A220" s="343"/>
      <c r="B220" s="361"/>
      <c r="C220" s="361"/>
      <c r="D220" s="348" t="s">
        <v>1190</v>
      </c>
      <c r="E220" s="343"/>
      <c r="F220" s="343"/>
    </row>
    <row r="221" spans="1:6">
      <c r="A221" s="343"/>
      <c r="B221" s="361"/>
      <c r="C221" s="361"/>
      <c r="D221" s="348" t="s">
        <v>1191</v>
      </c>
      <c r="E221" s="343"/>
      <c r="F221" s="343"/>
    </row>
    <row r="222" spans="1:6">
      <c r="A222" s="343"/>
      <c r="B222" s="361"/>
      <c r="C222" s="361"/>
      <c r="D222" s="348" t="s">
        <v>1192</v>
      </c>
      <c r="E222" s="343"/>
      <c r="F222" s="343"/>
    </row>
    <row r="223" spans="1:6">
      <c r="A223" s="343"/>
      <c r="B223" s="361"/>
      <c r="C223" s="361"/>
      <c r="D223" s="348" t="s">
        <v>300</v>
      </c>
      <c r="E223" s="343"/>
      <c r="F223" s="343"/>
    </row>
    <row r="224" spans="1:6">
      <c r="A224" s="343"/>
      <c r="B224" s="367"/>
      <c r="C224" s="367"/>
      <c r="D224" s="368"/>
      <c r="E224" s="343"/>
      <c r="F224" s="343"/>
    </row>
    <row r="225" spans="1:6">
      <c r="A225" s="346">
        <v>40</v>
      </c>
      <c r="B225" s="347">
        <v>5102050</v>
      </c>
      <c r="C225" s="347"/>
      <c r="D225" s="348" t="s">
        <v>1193</v>
      </c>
      <c r="E225" s="343"/>
      <c r="F225" s="343"/>
    </row>
    <row r="226" spans="1:6">
      <c r="A226" s="343"/>
      <c r="B226" s="361"/>
      <c r="C226" s="361"/>
      <c r="D226" s="348" t="s">
        <v>1194</v>
      </c>
      <c r="E226" s="343"/>
      <c r="F226" s="343"/>
    </row>
    <row r="227" spans="1:6">
      <c r="A227" s="343"/>
      <c r="B227" s="361"/>
      <c r="C227" s="361"/>
      <c r="D227" s="348" t="s">
        <v>306</v>
      </c>
      <c r="E227" s="343"/>
      <c r="F227" s="343"/>
    </row>
    <row r="228" spans="1:6">
      <c r="A228" s="343"/>
      <c r="B228" s="361"/>
      <c r="C228" s="361"/>
      <c r="D228" s="348" t="s">
        <v>307</v>
      </c>
      <c r="E228" s="343"/>
      <c r="F228" s="343"/>
    </row>
    <row r="229" spans="1:6">
      <c r="A229" s="343"/>
      <c r="B229" s="361"/>
      <c r="C229" s="361"/>
      <c r="D229" s="348" t="s">
        <v>308</v>
      </c>
      <c r="E229" s="343"/>
      <c r="F229" s="343"/>
    </row>
    <row r="230" spans="1:6">
      <c r="A230" s="343"/>
      <c r="B230" s="361"/>
      <c r="C230" s="361"/>
      <c r="D230" s="348" t="s">
        <v>309</v>
      </c>
      <c r="E230" s="343"/>
      <c r="F230" s="343"/>
    </row>
    <row r="231" spans="1:6">
      <c r="A231" s="343"/>
      <c r="B231" s="361"/>
      <c r="C231" s="361"/>
      <c r="D231" s="348" t="s">
        <v>122</v>
      </c>
      <c r="E231" s="343"/>
      <c r="F231" s="343"/>
    </row>
    <row r="232" spans="1:6">
      <c r="A232" s="343"/>
      <c r="B232" s="367"/>
      <c r="C232" s="367"/>
      <c r="D232" s="368"/>
      <c r="E232" s="343"/>
      <c r="F232" s="343"/>
    </row>
    <row r="233" spans="1:6">
      <c r="A233" s="346">
        <v>41</v>
      </c>
      <c r="B233" s="347">
        <v>5116979</v>
      </c>
      <c r="C233" s="347"/>
      <c r="D233" s="348" t="s">
        <v>310</v>
      </c>
      <c r="E233" s="343"/>
      <c r="F233" s="343"/>
    </row>
    <row r="234" spans="1:6">
      <c r="A234" s="343"/>
      <c r="B234" s="361"/>
      <c r="C234" s="361"/>
      <c r="D234" s="348" t="s">
        <v>311</v>
      </c>
      <c r="E234" s="343"/>
      <c r="F234" s="343"/>
    </row>
    <row r="235" spans="1:6">
      <c r="A235" s="343"/>
      <c r="B235" s="361"/>
      <c r="C235" s="361"/>
      <c r="D235" s="348" t="s">
        <v>312</v>
      </c>
      <c r="E235" s="343"/>
      <c r="F235" s="343"/>
    </row>
    <row r="236" spans="1:6">
      <c r="A236" s="343"/>
      <c r="B236" s="361"/>
      <c r="C236" s="361"/>
      <c r="D236" s="348" t="s">
        <v>313</v>
      </c>
      <c r="E236" s="343"/>
      <c r="F236" s="343"/>
    </row>
    <row r="237" spans="1:6">
      <c r="A237" s="343"/>
      <c r="B237" s="361"/>
      <c r="C237" s="361"/>
      <c r="D237" s="348" t="s">
        <v>314</v>
      </c>
      <c r="E237" s="343"/>
      <c r="F237" s="343"/>
    </row>
    <row r="238" spans="1:6">
      <c r="A238" s="343"/>
      <c r="B238" s="361"/>
      <c r="C238" s="361"/>
      <c r="D238" s="348" t="s">
        <v>122</v>
      </c>
      <c r="E238" s="343"/>
      <c r="F238" s="343"/>
    </row>
    <row r="239" spans="1:6">
      <c r="A239" s="343"/>
      <c r="B239" s="367"/>
      <c r="C239" s="367"/>
      <c r="D239" s="368"/>
      <c r="E239" s="343"/>
      <c r="F239" s="343"/>
    </row>
    <row r="240" spans="1:6">
      <c r="A240" s="346">
        <v>42</v>
      </c>
      <c r="B240" s="347">
        <v>6200001</v>
      </c>
      <c r="C240" s="347"/>
      <c r="D240" s="348" t="s">
        <v>315</v>
      </c>
      <c r="E240" s="343"/>
      <c r="F240" s="343"/>
    </row>
    <row r="241" spans="1:6">
      <c r="A241" s="343"/>
      <c r="B241" s="361"/>
      <c r="C241" s="361"/>
      <c r="D241" s="348" t="s">
        <v>316</v>
      </c>
      <c r="E241" s="343"/>
      <c r="F241" s="343"/>
    </row>
    <row r="242" spans="1:6">
      <c r="A242" s="343"/>
      <c r="B242" s="361"/>
      <c r="C242" s="361"/>
      <c r="D242" s="348" t="s">
        <v>317</v>
      </c>
      <c r="E242" s="343"/>
      <c r="F242" s="343"/>
    </row>
    <row r="243" spans="1:6">
      <c r="A243" s="343"/>
      <c r="B243" s="361"/>
      <c r="C243" s="361"/>
      <c r="D243" s="348" t="s">
        <v>318</v>
      </c>
      <c r="E243" s="343"/>
      <c r="F243" s="343"/>
    </row>
    <row r="244" spans="1:6">
      <c r="A244" s="343"/>
      <c r="B244" s="361"/>
      <c r="C244" s="361"/>
      <c r="D244" s="348" t="s">
        <v>319</v>
      </c>
      <c r="E244" s="343"/>
      <c r="F244" s="343"/>
    </row>
    <row r="245" spans="1:6">
      <c r="A245" s="343"/>
      <c r="B245" s="361"/>
      <c r="C245" s="361"/>
      <c r="D245" s="348" t="s">
        <v>320</v>
      </c>
      <c r="E245" s="343"/>
      <c r="F245" s="343"/>
    </row>
    <row r="246" spans="1:6">
      <c r="A246" s="343"/>
      <c r="B246" s="361"/>
      <c r="C246" s="361"/>
      <c r="D246" s="348" t="s">
        <v>276</v>
      </c>
      <c r="E246" s="343"/>
      <c r="F246" s="343"/>
    </row>
    <row r="247" spans="1:6">
      <c r="A247" s="343"/>
      <c r="B247" s="367"/>
      <c r="C247" s="367"/>
      <c r="D247" s="368"/>
      <c r="E247" s="343"/>
      <c r="F247" s="343"/>
    </row>
    <row r="248" spans="1:6">
      <c r="A248" s="346">
        <v>43</v>
      </c>
      <c r="B248" s="347">
        <v>5115300</v>
      </c>
      <c r="C248" s="347"/>
      <c r="D248" s="348" t="s">
        <v>321</v>
      </c>
      <c r="E248" s="343"/>
      <c r="F248" s="343"/>
    </row>
    <row r="249" spans="1:6">
      <c r="A249" s="343"/>
      <c r="B249" s="361"/>
      <c r="C249" s="361"/>
      <c r="D249" s="348" t="s">
        <v>322</v>
      </c>
      <c r="E249" s="343"/>
      <c r="F249" s="343"/>
    </row>
    <row r="250" spans="1:6">
      <c r="A250" s="343"/>
      <c r="B250" s="361"/>
      <c r="C250" s="361"/>
      <c r="D250" s="348" t="s">
        <v>323</v>
      </c>
      <c r="E250" s="343"/>
      <c r="F250" s="343"/>
    </row>
    <row r="251" spans="1:6">
      <c r="A251" s="343"/>
      <c r="B251" s="361"/>
      <c r="C251" s="361"/>
      <c r="D251" s="348" t="s">
        <v>324</v>
      </c>
      <c r="E251" s="343"/>
      <c r="F251" s="343"/>
    </row>
    <row r="252" spans="1:6">
      <c r="A252" s="343"/>
      <c r="B252" s="361"/>
      <c r="C252" s="361"/>
      <c r="D252" s="348" t="s">
        <v>122</v>
      </c>
      <c r="E252" s="343"/>
      <c r="F252" s="343"/>
    </row>
    <row r="253" spans="1:6">
      <c r="A253" s="343"/>
      <c r="B253" s="367"/>
      <c r="C253" s="367"/>
      <c r="D253" s="368"/>
      <c r="E253" s="343"/>
      <c r="F253" s="343"/>
    </row>
    <row r="254" spans="1:6">
      <c r="A254" s="346">
        <v>44</v>
      </c>
      <c r="B254" s="347">
        <v>6100007</v>
      </c>
      <c r="C254" s="347"/>
      <c r="D254" s="348" t="s">
        <v>325</v>
      </c>
      <c r="E254" s="343"/>
      <c r="F254" s="343"/>
    </row>
    <row r="255" spans="1:6">
      <c r="A255" s="343"/>
      <c r="B255" s="361"/>
      <c r="C255" s="361"/>
      <c r="D255" s="348" t="s">
        <v>326</v>
      </c>
      <c r="E255" s="343"/>
      <c r="F255" s="343"/>
    </row>
    <row r="256" spans="1:6">
      <c r="A256" s="343"/>
      <c r="B256" s="361"/>
      <c r="C256" s="361"/>
      <c r="D256" s="348" t="s">
        <v>327</v>
      </c>
      <c r="E256" s="343"/>
      <c r="F256" s="343"/>
    </row>
    <row r="257" spans="1:6">
      <c r="A257" s="343"/>
      <c r="B257" s="361"/>
      <c r="C257" s="361"/>
      <c r="D257" s="348" t="s">
        <v>328</v>
      </c>
      <c r="E257" s="343"/>
      <c r="F257" s="343"/>
    </row>
    <row r="258" spans="1:6">
      <c r="A258" s="343"/>
      <c r="B258" s="361"/>
      <c r="C258" s="361"/>
      <c r="D258" s="348" t="s">
        <v>329</v>
      </c>
      <c r="E258" s="343"/>
      <c r="F258" s="343"/>
    </row>
    <row r="259" spans="1:6">
      <c r="A259" s="343"/>
      <c r="B259" s="361"/>
      <c r="C259" s="361"/>
      <c r="D259" s="348" t="s">
        <v>330</v>
      </c>
      <c r="E259" s="343"/>
      <c r="F259" s="343"/>
    </row>
    <row r="260" spans="1:6">
      <c r="A260" s="343"/>
      <c r="B260" s="361"/>
      <c r="C260" s="361"/>
      <c r="D260" s="348" t="s">
        <v>331</v>
      </c>
      <c r="E260" s="343"/>
      <c r="F260" s="343"/>
    </row>
    <row r="261" spans="1:6">
      <c r="A261" s="343"/>
      <c r="B261" s="367"/>
      <c r="C261" s="367"/>
      <c r="D261" s="368"/>
      <c r="E261" s="343"/>
      <c r="F261" s="343"/>
    </row>
    <row r="262" spans="1:6">
      <c r="A262" s="346">
        <v>45</v>
      </c>
      <c r="B262" s="347">
        <v>6100279</v>
      </c>
      <c r="C262" s="347"/>
      <c r="D262" s="348" t="s">
        <v>332</v>
      </c>
      <c r="E262" s="343"/>
      <c r="F262" s="343"/>
    </row>
    <row r="263" spans="1:6">
      <c r="A263" s="343"/>
      <c r="B263" s="361"/>
      <c r="C263" s="361"/>
      <c r="D263" s="348" t="s">
        <v>333</v>
      </c>
      <c r="E263" s="343"/>
      <c r="F263" s="343"/>
    </row>
    <row r="264" spans="1:6">
      <c r="A264" s="343"/>
      <c r="B264" s="361"/>
      <c r="C264" s="361"/>
      <c r="D264" s="348" t="s">
        <v>334</v>
      </c>
      <c r="E264" s="343"/>
      <c r="F264" s="343"/>
    </row>
    <row r="265" spans="1:6">
      <c r="A265" s="343"/>
      <c r="B265" s="361"/>
      <c r="C265" s="361"/>
      <c r="D265" s="348" t="s">
        <v>335</v>
      </c>
      <c r="E265" s="343"/>
      <c r="F265" s="343"/>
    </row>
    <row r="266" spans="1:6">
      <c r="A266" s="343"/>
      <c r="B266" s="367"/>
      <c r="C266" s="367"/>
      <c r="D266" s="368"/>
      <c r="E266" s="343"/>
      <c r="F266" s="343"/>
    </row>
    <row r="267" spans="1:6">
      <c r="A267" s="346">
        <v>46</v>
      </c>
      <c r="B267" s="347">
        <v>6200074</v>
      </c>
      <c r="C267" s="347"/>
      <c r="D267" s="348" t="s">
        <v>332</v>
      </c>
      <c r="E267" s="343"/>
      <c r="F267" s="343"/>
    </row>
    <row r="268" spans="1:6">
      <c r="A268" s="343"/>
      <c r="B268" s="361"/>
      <c r="C268" s="361"/>
      <c r="D268" s="348" t="s">
        <v>336</v>
      </c>
      <c r="E268" s="343"/>
      <c r="F268" s="343"/>
    </row>
    <row r="269" spans="1:6">
      <c r="A269" s="343"/>
      <c r="B269" s="361"/>
      <c r="C269" s="361"/>
      <c r="D269" s="348" t="s">
        <v>337</v>
      </c>
      <c r="E269" s="343"/>
      <c r="F269" s="343"/>
    </row>
    <row r="270" spans="1:6">
      <c r="A270" s="343"/>
      <c r="B270" s="361"/>
      <c r="C270" s="361"/>
      <c r="D270" s="348" t="s">
        <v>335</v>
      </c>
      <c r="E270" s="343"/>
      <c r="F270" s="343"/>
    </row>
    <row r="271" spans="1:6">
      <c r="A271" s="343"/>
      <c r="B271" s="367"/>
      <c r="C271" s="367"/>
      <c r="D271" s="368"/>
      <c r="E271" s="343"/>
      <c r="F271" s="343"/>
    </row>
    <row r="272" spans="1:6">
      <c r="A272" s="346">
        <v>47</v>
      </c>
      <c r="B272" s="347">
        <v>6100251</v>
      </c>
      <c r="C272" s="347"/>
      <c r="D272" s="348" t="s">
        <v>338</v>
      </c>
      <c r="E272" s="343"/>
      <c r="F272" s="343"/>
    </row>
    <row r="273" spans="1:6">
      <c r="A273" s="343" t="s">
        <v>339</v>
      </c>
      <c r="B273" s="361"/>
      <c r="C273" s="361"/>
      <c r="D273" s="348" t="s">
        <v>340</v>
      </c>
      <c r="E273" s="343"/>
      <c r="F273" s="343"/>
    </row>
    <row r="274" spans="1:6">
      <c r="A274" s="343"/>
      <c r="B274" s="361"/>
      <c r="C274" s="361"/>
      <c r="D274" s="348" t="s">
        <v>341</v>
      </c>
      <c r="E274" s="343"/>
      <c r="F274" s="343"/>
    </row>
    <row r="275" spans="1:6">
      <c r="A275" s="343"/>
      <c r="B275" s="361"/>
      <c r="C275" s="361"/>
      <c r="D275" s="348" t="s">
        <v>342</v>
      </c>
      <c r="E275" s="343"/>
      <c r="F275" s="343"/>
    </row>
    <row r="276" spans="1:6">
      <c r="A276" s="343"/>
      <c r="B276" s="361"/>
      <c r="C276" s="361"/>
      <c r="D276" s="348" t="s">
        <v>343</v>
      </c>
      <c r="E276" s="343"/>
      <c r="F276" s="343"/>
    </row>
    <row r="277" spans="1:6">
      <c r="A277" s="343"/>
      <c r="B277" s="361"/>
      <c r="C277" s="361"/>
      <c r="D277" s="348" t="s">
        <v>344</v>
      </c>
      <c r="E277" s="343"/>
      <c r="F277" s="343"/>
    </row>
    <row r="278" spans="1:6">
      <c r="A278" s="343"/>
      <c r="B278" s="367"/>
      <c r="C278" s="367"/>
      <c r="D278" s="368"/>
      <c r="E278" s="343"/>
      <c r="F278" s="343"/>
    </row>
    <row r="279" spans="1:6">
      <c r="A279" s="346">
        <v>48</v>
      </c>
      <c r="B279" s="347">
        <v>6200079</v>
      </c>
      <c r="C279" s="347"/>
      <c r="D279" s="348" t="s">
        <v>345</v>
      </c>
      <c r="E279" s="343"/>
      <c r="F279" s="343"/>
    </row>
    <row r="280" spans="1:6">
      <c r="A280" s="343"/>
      <c r="B280" s="361"/>
      <c r="C280" s="361"/>
      <c r="D280" s="348" t="s">
        <v>346</v>
      </c>
      <c r="E280" s="343"/>
      <c r="F280" s="343"/>
    </row>
    <row r="281" spans="1:6">
      <c r="A281" s="343"/>
      <c r="B281" s="361"/>
      <c r="C281" s="361"/>
      <c r="D281" s="348" t="s">
        <v>347</v>
      </c>
      <c r="E281" s="343"/>
      <c r="F281" s="343"/>
    </row>
    <row r="282" spans="1:6">
      <c r="A282" s="343"/>
      <c r="B282" s="367"/>
      <c r="C282" s="367"/>
      <c r="D282" s="368"/>
      <c r="E282" s="343"/>
      <c r="F282" s="343"/>
    </row>
    <row r="283" spans="1:6">
      <c r="A283" s="346">
        <v>49</v>
      </c>
      <c r="B283" s="347">
        <v>6100292</v>
      </c>
      <c r="C283" s="347"/>
      <c r="D283" s="348" t="s">
        <v>348</v>
      </c>
      <c r="E283" s="343"/>
      <c r="F283" s="343"/>
    </row>
    <row r="284" spans="1:6">
      <c r="A284" s="343"/>
      <c r="B284" s="361"/>
      <c r="C284" s="361"/>
      <c r="D284" s="348" t="s">
        <v>349</v>
      </c>
      <c r="E284" s="343"/>
      <c r="F284" s="343"/>
    </row>
    <row r="285" spans="1:6">
      <c r="A285" s="343"/>
      <c r="B285" s="361"/>
      <c r="C285" s="361"/>
      <c r="D285" s="348" t="s">
        <v>350</v>
      </c>
      <c r="E285" s="343"/>
      <c r="F285" s="343"/>
    </row>
    <row r="286" spans="1:6">
      <c r="A286" s="343"/>
      <c r="B286" s="361"/>
      <c r="C286" s="361"/>
      <c r="D286" s="348" t="s">
        <v>351</v>
      </c>
      <c r="E286" s="343"/>
      <c r="F286" s="343"/>
    </row>
    <row r="287" spans="1:6">
      <c r="A287" s="343"/>
      <c r="B287" s="367"/>
      <c r="C287" s="367"/>
      <c r="D287" s="368"/>
      <c r="E287" s="343"/>
      <c r="F287" s="343"/>
    </row>
    <row r="288" spans="1:6">
      <c r="A288" s="346">
        <v>50</v>
      </c>
      <c r="B288" s="347">
        <v>6200080</v>
      </c>
      <c r="C288" s="347"/>
      <c r="D288" s="348" t="s">
        <v>352</v>
      </c>
      <c r="E288" s="343"/>
      <c r="F288" s="343"/>
    </row>
    <row r="289" spans="1:6">
      <c r="A289" s="343"/>
      <c r="B289" s="347"/>
      <c r="C289" s="347"/>
      <c r="D289" s="348" t="s">
        <v>349</v>
      </c>
      <c r="E289" s="343"/>
      <c r="F289" s="343"/>
    </row>
    <row r="290" spans="1:6">
      <c r="A290" s="343"/>
      <c r="B290" s="347"/>
      <c r="C290" s="347"/>
      <c r="D290" s="348" t="s">
        <v>350</v>
      </c>
      <c r="E290" s="343"/>
      <c r="F290" s="343"/>
    </row>
    <row r="291" spans="1:6">
      <c r="A291" s="343"/>
      <c r="B291" s="347"/>
      <c r="C291" s="347"/>
      <c r="D291" s="348" t="s">
        <v>351</v>
      </c>
      <c r="E291" s="343"/>
      <c r="F291" s="343"/>
    </row>
    <row r="292" spans="1:6">
      <c r="A292" s="343"/>
      <c r="B292" s="367"/>
      <c r="C292" s="367"/>
      <c r="D292" s="368"/>
      <c r="E292" s="343"/>
      <c r="F292" s="343"/>
    </row>
    <row r="293" spans="1:6">
      <c r="A293" s="346">
        <v>51</v>
      </c>
      <c r="B293" s="347">
        <v>6200082</v>
      </c>
      <c r="C293" s="347"/>
      <c r="D293" s="348" t="s">
        <v>353</v>
      </c>
      <c r="E293" s="343"/>
      <c r="F293" s="343"/>
    </row>
    <row r="294" spans="1:6">
      <c r="A294" s="343"/>
      <c r="B294" s="347"/>
      <c r="C294" s="347"/>
      <c r="D294" s="348" t="s">
        <v>354</v>
      </c>
      <c r="E294" s="343"/>
      <c r="F294" s="343"/>
    </row>
    <row r="295" spans="1:6">
      <c r="A295" s="343"/>
      <c r="B295" s="347"/>
      <c r="C295" s="347"/>
      <c r="D295" s="348" t="s">
        <v>355</v>
      </c>
      <c r="E295" s="343"/>
      <c r="F295" s="343"/>
    </row>
    <row r="296" spans="1:6">
      <c r="A296" s="343"/>
      <c r="B296" s="347"/>
      <c r="C296" s="347"/>
      <c r="D296" s="348" t="s">
        <v>356</v>
      </c>
      <c r="E296" s="343"/>
      <c r="F296" s="343"/>
    </row>
    <row r="297" spans="1:6">
      <c r="A297" s="343"/>
      <c r="B297" s="347"/>
      <c r="C297" s="347"/>
      <c r="D297" s="348" t="s">
        <v>300</v>
      </c>
      <c r="E297" s="343"/>
      <c r="F297" s="343"/>
    </row>
    <row r="298" spans="1:6">
      <c r="A298" s="343"/>
      <c r="B298" s="367"/>
      <c r="C298" s="367"/>
      <c r="D298" s="368"/>
      <c r="E298" s="343"/>
      <c r="F298" s="343"/>
    </row>
    <row r="299" spans="1:6">
      <c r="A299" s="346">
        <v>52</v>
      </c>
      <c r="B299" s="347">
        <v>6100079</v>
      </c>
      <c r="C299" s="347"/>
      <c r="D299" s="348" t="s">
        <v>357</v>
      </c>
      <c r="E299" s="343"/>
      <c r="F299" s="343"/>
    </row>
    <row r="300" spans="1:6">
      <c r="A300" s="343"/>
      <c r="B300" s="347"/>
      <c r="C300" s="347"/>
      <c r="D300" s="348" t="s">
        <v>358</v>
      </c>
      <c r="E300" s="343"/>
      <c r="F300" s="343"/>
    </row>
    <row r="301" spans="1:6">
      <c r="A301" s="343"/>
      <c r="B301" s="347"/>
      <c r="C301" s="347"/>
      <c r="D301" s="348" t="s">
        <v>359</v>
      </c>
      <c r="E301" s="343"/>
      <c r="F301" s="343"/>
    </row>
    <row r="302" spans="1:6">
      <c r="A302" s="343"/>
      <c r="B302" s="347"/>
      <c r="C302" s="347"/>
      <c r="D302" s="348" t="s">
        <v>360</v>
      </c>
      <c r="E302" s="343"/>
      <c r="F302" s="343"/>
    </row>
    <row r="303" spans="1:6">
      <c r="A303" s="343"/>
      <c r="B303" s="347"/>
      <c r="C303" s="347"/>
      <c r="D303" s="348" t="s">
        <v>361</v>
      </c>
      <c r="E303" s="343"/>
      <c r="F303" s="343"/>
    </row>
    <row r="304" spans="1:6">
      <c r="A304" s="343"/>
      <c r="B304" s="367"/>
      <c r="C304" s="367"/>
      <c r="D304" s="368"/>
      <c r="E304" s="343"/>
      <c r="F304" s="343"/>
    </row>
    <row r="305" spans="1:6">
      <c r="A305" s="346">
        <v>53</v>
      </c>
      <c r="B305" s="347">
        <v>6100120</v>
      </c>
      <c r="C305" s="347"/>
      <c r="D305" s="348" t="s">
        <v>362</v>
      </c>
      <c r="E305" s="343"/>
      <c r="F305" s="343"/>
    </row>
    <row r="306" spans="1:6">
      <c r="A306" s="346"/>
      <c r="B306" s="347"/>
      <c r="C306" s="347"/>
      <c r="D306" s="348" t="s">
        <v>363</v>
      </c>
      <c r="E306" s="343"/>
      <c r="F306" s="343"/>
    </row>
    <row r="307" spans="1:6">
      <c r="A307" s="343"/>
      <c r="B307" s="347"/>
      <c r="C307" s="347"/>
      <c r="D307" s="348" t="s">
        <v>364</v>
      </c>
      <c r="E307" s="343"/>
      <c r="F307" s="343"/>
    </row>
    <row r="308" spans="1:6">
      <c r="A308" s="343"/>
      <c r="B308" s="347"/>
      <c r="C308" s="347"/>
      <c r="D308" s="348" t="s">
        <v>365</v>
      </c>
      <c r="E308" s="343"/>
      <c r="F308" s="343"/>
    </row>
    <row r="309" spans="1:6">
      <c r="A309" s="343"/>
      <c r="B309" s="367"/>
      <c r="C309" s="367"/>
      <c r="D309" s="368"/>
      <c r="E309" s="343"/>
      <c r="F309" s="343"/>
    </row>
    <row r="310" spans="1:6">
      <c r="A310" s="346">
        <v>54</v>
      </c>
      <c r="B310" s="347">
        <v>6100083</v>
      </c>
      <c r="C310" s="347"/>
      <c r="D310" s="348" t="s">
        <v>366</v>
      </c>
      <c r="E310" s="343"/>
      <c r="F310" s="343"/>
    </row>
    <row r="311" spans="1:6">
      <c r="A311" s="343"/>
      <c r="B311" s="347"/>
      <c r="C311" s="347"/>
      <c r="D311" s="348" t="s">
        <v>1195</v>
      </c>
      <c r="E311" s="343"/>
      <c r="F311" s="343"/>
    </row>
    <row r="312" spans="1:6">
      <c r="A312" s="343"/>
      <c r="B312" s="347"/>
      <c r="C312" s="347"/>
      <c r="D312" s="348" t="s">
        <v>1196</v>
      </c>
      <c r="E312" s="343"/>
      <c r="F312" s="343"/>
    </row>
    <row r="313" spans="1:6">
      <c r="A313" s="343"/>
      <c r="B313" s="347"/>
      <c r="C313" s="347"/>
      <c r="D313" s="348" t="s">
        <v>1197</v>
      </c>
      <c r="E313" s="343"/>
      <c r="F313" s="343"/>
    </row>
    <row r="314" spans="1:6">
      <c r="A314" s="343"/>
      <c r="B314" s="347"/>
      <c r="C314" s="347"/>
      <c r="D314" s="348" t="s">
        <v>1198</v>
      </c>
      <c r="E314" s="343"/>
      <c r="F314" s="343"/>
    </row>
    <row r="315" spans="1:6">
      <c r="A315" s="343"/>
      <c r="B315" s="347"/>
      <c r="C315" s="347"/>
      <c r="D315" s="348" t="s">
        <v>1199</v>
      </c>
      <c r="E315" s="343"/>
      <c r="F315" s="343"/>
    </row>
    <row r="316" spans="1:6">
      <c r="A316" s="343"/>
      <c r="B316" s="347"/>
      <c r="C316" s="347"/>
      <c r="D316" s="348" t="s">
        <v>1200</v>
      </c>
      <c r="E316" s="343"/>
      <c r="F316" s="343"/>
    </row>
    <row r="317" spans="1:6">
      <c r="A317" s="343"/>
      <c r="B317" s="367"/>
      <c r="C317" s="367"/>
      <c r="D317" s="368"/>
      <c r="E317" s="343"/>
      <c r="F317" s="343"/>
    </row>
    <row r="318" spans="1:6">
      <c r="A318" s="346">
        <v>55</v>
      </c>
      <c r="B318" s="347">
        <v>6100243</v>
      </c>
      <c r="C318" s="347"/>
      <c r="D318" s="348" t="s">
        <v>371</v>
      </c>
      <c r="E318" s="343"/>
      <c r="F318" s="343"/>
    </row>
    <row r="319" spans="1:6">
      <c r="A319" s="343"/>
      <c r="B319" s="347"/>
      <c r="C319" s="347"/>
      <c r="D319" s="348" t="s">
        <v>1201</v>
      </c>
      <c r="E319" s="343"/>
      <c r="F319" s="343"/>
    </row>
    <row r="320" spans="1:6">
      <c r="A320" s="343"/>
      <c r="B320" s="347"/>
      <c r="C320" s="347"/>
      <c r="D320" s="348" t="s">
        <v>373</v>
      </c>
      <c r="E320" s="343"/>
      <c r="F320" s="343"/>
    </row>
    <row r="321" spans="1:6">
      <c r="A321" s="343"/>
      <c r="B321" s="347"/>
      <c r="C321" s="347"/>
      <c r="D321" s="348" t="s">
        <v>374</v>
      </c>
      <c r="E321" s="343"/>
      <c r="F321" s="343"/>
    </row>
    <row r="322" spans="1:6">
      <c r="A322" s="343"/>
      <c r="B322" s="347"/>
      <c r="C322" s="347"/>
      <c r="D322" s="348" t="s">
        <v>375</v>
      </c>
      <c r="E322" s="343"/>
      <c r="F322" s="343"/>
    </row>
    <row r="323" spans="1:6">
      <c r="A323" s="343"/>
      <c r="B323" s="347"/>
      <c r="C323" s="347"/>
      <c r="D323" s="348" t="s">
        <v>376</v>
      </c>
      <c r="E323" s="343"/>
      <c r="F323" s="343"/>
    </row>
    <row r="324" spans="1:6">
      <c r="A324" s="343"/>
      <c r="B324" s="367"/>
      <c r="C324" s="367"/>
      <c r="D324" s="368"/>
      <c r="E324" s="343"/>
      <c r="F324" s="343"/>
    </row>
    <row r="325" spans="1:6">
      <c r="A325" s="346">
        <v>56</v>
      </c>
      <c r="B325" s="347">
        <v>6100294</v>
      </c>
      <c r="C325" s="347"/>
      <c r="D325" s="348" t="s">
        <v>377</v>
      </c>
      <c r="E325" s="343"/>
      <c r="F325" s="343"/>
    </row>
    <row r="326" spans="1:6">
      <c r="A326" s="343"/>
      <c r="B326" s="347"/>
      <c r="C326" s="347"/>
      <c r="D326" s="348" t="s">
        <v>378</v>
      </c>
      <c r="E326" s="343"/>
      <c r="F326" s="343"/>
    </row>
    <row r="327" spans="1:6">
      <c r="A327" s="343"/>
      <c r="B327" s="347"/>
      <c r="C327" s="347"/>
      <c r="D327" s="348" t="s">
        <v>379</v>
      </c>
      <c r="E327" s="343"/>
      <c r="F327" s="343"/>
    </row>
    <row r="328" spans="1:6">
      <c r="A328" s="343"/>
      <c r="B328" s="347"/>
      <c r="C328" s="347"/>
      <c r="D328" s="348" t="s">
        <v>380</v>
      </c>
      <c r="E328" s="343"/>
      <c r="F328" s="343"/>
    </row>
    <row r="329" spans="1:6">
      <c r="A329" s="343"/>
      <c r="B329" s="347"/>
      <c r="C329" s="347"/>
      <c r="D329" s="348" t="s">
        <v>381</v>
      </c>
      <c r="E329" s="343"/>
      <c r="F329" s="343"/>
    </row>
    <row r="330" spans="1:6">
      <c r="A330" s="343"/>
      <c r="B330" s="367"/>
      <c r="C330" s="367"/>
      <c r="D330" s="368"/>
      <c r="E330" s="343"/>
      <c r="F330" s="343"/>
    </row>
    <row r="331" spans="1:6">
      <c r="A331" s="346">
        <v>57</v>
      </c>
      <c r="B331" s="347">
        <v>6200044</v>
      </c>
      <c r="C331" s="347"/>
      <c r="D331" s="348" t="s">
        <v>382</v>
      </c>
      <c r="E331" s="343"/>
      <c r="F331" s="343"/>
    </row>
    <row r="332" spans="1:6">
      <c r="A332" s="343"/>
      <c r="B332" s="347"/>
      <c r="C332" s="347"/>
      <c r="D332" s="348" t="s">
        <v>383</v>
      </c>
      <c r="E332" s="343"/>
      <c r="F332" s="343"/>
    </row>
    <row r="333" spans="1:6">
      <c r="A333" s="343"/>
      <c r="B333" s="347"/>
      <c r="C333" s="347"/>
      <c r="D333" s="348" t="s">
        <v>384</v>
      </c>
      <c r="E333" s="343"/>
      <c r="F333" s="343"/>
    </row>
    <row r="334" spans="1:6">
      <c r="A334" s="343"/>
      <c r="B334" s="347"/>
      <c r="C334" s="347"/>
      <c r="D334" s="348" t="s">
        <v>385</v>
      </c>
      <c r="E334" s="343"/>
      <c r="F334" s="343"/>
    </row>
    <row r="335" spans="1:6">
      <c r="A335" s="343"/>
      <c r="B335" s="347"/>
      <c r="C335" s="347"/>
      <c r="D335" s="348" t="s">
        <v>381</v>
      </c>
      <c r="E335" s="343"/>
      <c r="F335" s="343"/>
    </row>
    <row r="336" spans="1:6">
      <c r="A336" s="343"/>
      <c r="B336" s="367"/>
      <c r="C336" s="367"/>
      <c r="D336" s="368"/>
      <c r="E336" s="343"/>
      <c r="F336" s="343"/>
    </row>
    <row r="337" spans="1:6">
      <c r="A337" s="346">
        <v>58</v>
      </c>
      <c r="B337" s="347">
        <v>6100028</v>
      </c>
      <c r="C337" s="347"/>
      <c r="D337" s="348" t="s">
        <v>386</v>
      </c>
      <c r="E337" s="343"/>
      <c r="F337" s="343"/>
    </row>
    <row r="338" spans="1:6">
      <c r="A338" s="343"/>
      <c r="B338" s="347"/>
      <c r="C338" s="347"/>
      <c r="D338" s="348" t="s">
        <v>1202</v>
      </c>
      <c r="E338" s="343"/>
      <c r="F338" s="343"/>
    </row>
    <row r="339" spans="1:6">
      <c r="A339" s="343"/>
      <c r="B339" s="347"/>
      <c r="C339" s="347"/>
      <c r="D339" s="348" t="s">
        <v>388</v>
      </c>
      <c r="E339" s="343"/>
      <c r="F339" s="343"/>
    </row>
    <row r="340" spans="1:6">
      <c r="A340" s="343"/>
      <c r="B340" s="347"/>
      <c r="C340" s="347"/>
      <c r="D340" s="348" t="s">
        <v>389</v>
      </c>
      <c r="E340" s="343"/>
      <c r="F340" s="343"/>
    </row>
    <row r="341" spans="1:6">
      <c r="A341" s="343"/>
      <c r="B341" s="347"/>
      <c r="C341" s="347"/>
      <c r="D341" s="348" t="s">
        <v>390</v>
      </c>
      <c r="E341" s="343"/>
      <c r="F341" s="343"/>
    </row>
    <row r="342" spans="1:6">
      <c r="A342" s="343"/>
      <c r="B342" s="347"/>
      <c r="C342" s="347"/>
      <c r="D342" s="348" t="s">
        <v>388</v>
      </c>
      <c r="E342" s="343"/>
      <c r="F342" s="343"/>
    </row>
    <row r="343" spans="1:6">
      <c r="A343" s="343"/>
      <c r="B343" s="367"/>
      <c r="C343" s="367"/>
      <c r="D343" s="368"/>
      <c r="E343" s="343"/>
      <c r="F343" s="343"/>
    </row>
    <row r="344" spans="1:6">
      <c r="A344" s="346">
        <v>59</v>
      </c>
      <c r="B344" s="347">
        <v>6100050</v>
      </c>
      <c r="C344" s="347"/>
      <c r="D344" s="348" t="s">
        <v>391</v>
      </c>
      <c r="E344" s="343"/>
      <c r="F344" s="343"/>
    </row>
    <row r="345" spans="1:6">
      <c r="A345" s="343"/>
      <c r="B345" s="347"/>
      <c r="C345" s="347"/>
      <c r="D345" s="348" t="s">
        <v>1203</v>
      </c>
      <c r="E345" s="343"/>
      <c r="F345" s="343"/>
    </row>
    <row r="346" spans="1:6">
      <c r="A346" s="343"/>
      <c r="B346" s="347"/>
      <c r="C346" s="347"/>
      <c r="D346" s="348" t="s">
        <v>393</v>
      </c>
      <c r="E346" s="343"/>
      <c r="F346" s="343"/>
    </row>
    <row r="347" spans="1:6">
      <c r="A347" s="343"/>
      <c r="B347" s="347"/>
      <c r="C347" s="347"/>
      <c r="D347" s="348" t="s">
        <v>1204</v>
      </c>
      <c r="E347" s="343"/>
      <c r="F347" s="343"/>
    </row>
    <row r="348" spans="1:6">
      <c r="A348" s="343"/>
      <c r="B348" s="347"/>
      <c r="C348" s="347"/>
      <c r="D348" s="348" t="s">
        <v>394</v>
      </c>
      <c r="E348" s="343"/>
      <c r="F348" s="343"/>
    </row>
    <row r="349" spans="1:6">
      <c r="A349" s="343"/>
      <c r="B349" s="347"/>
      <c r="C349" s="347"/>
      <c r="D349" s="348" t="s">
        <v>1205</v>
      </c>
      <c r="E349" s="343"/>
      <c r="F349" s="343"/>
    </row>
    <row r="350" spans="1:6">
      <c r="A350" s="343"/>
      <c r="B350" s="347"/>
      <c r="C350" s="347"/>
      <c r="D350" s="348" t="s">
        <v>395</v>
      </c>
      <c r="E350" s="343"/>
      <c r="F350" s="343"/>
    </row>
    <row r="351" spans="1:6">
      <c r="A351" s="343"/>
      <c r="B351" s="367"/>
      <c r="C351" s="367"/>
      <c r="D351" s="368"/>
      <c r="E351" s="343"/>
      <c r="F351" s="343"/>
    </row>
    <row r="352" spans="1:6" ht="126">
      <c r="A352" s="346">
        <v>60</v>
      </c>
      <c r="B352" s="347">
        <v>6100014</v>
      </c>
      <c r="C352" s="347"/>
      <c r="D352" s="348" t="s">
        <v>397</v>
      </c>
      <c r="E352" s="347">
        <v>6200085</v>
      </c>
      <c r="F352" s="357" t="s">
        <v>398</v>
      </c>
    </row>
    <row r="353" spans="1:6" ht="126">
      <c r="A353" s="343"/>
      <c r="B353" s="347"/>
      <c r="C353" s="347"/>
      <c r="D353" s="348" t="s">
        <v>399</v>
      </c>
      <c r="E353" s="375"/>
      <c r="F353" s="357" t="s">
        <v>400</v>
      </c>
    </row>
    <row r="354" spans="1:6" ht="126">
      <c r="A354" s="343"/>
      <c r="B354" s="347"/>
      <c r="C354" s="347"/>
      <c r="D354" s="348" t="s">
        <v>401</v>
      </c>
      <c r="E354" s="375"/>
      <c r="F354" s="357" t="s">
        <v>401</v>
      </c>
    </row>
    <row r="355" spans="1:6">
      <c r="A355" s="343"/>
      <c r="B355" s="347"/>
      <c r="C355" s="347"/>
      <c r="D355" s="348" t="s">
        <v>402</v>
      </c>
      <c r="E355" s="375"/>
      <c r="F355" s="357" t="s">
        <v>402</v>
      </c>
    </row>
    <row r="356" spans="1:6">
      <c r="A356" s="343"/>
      <c r="B356" s="347"/>
      <c r="C356" s="347"/>
      <c r="D356" s="348" t="s">
        <v>381</v>
      </c>
      <c r="E356" s="375"/>
      <c r="F356" s="357" t="s">
        <v>381</v>
      </c>
    </row>
    <row r="357" spans="1:6">
      <c r="A357" s="343"/>
      <c r="B357" s="367"/>
      <c r="C357" s="367"/>
      <c r="D357" s="368"/>
      <c r="E357" s="343"/>
      <c r="F357" s="343"/>
    </row>
    <row r="358" spans="1:6">
      <c r="A358" s="346">
        <v>61</v>
      </c>
      <c r="B358" s="347">
        <v>6100059</v>
      </c>
      <c r="C358" s="347"/>
      <c r="D358" s="348" t="s">
        <v>403</v>
      </c>
      <c r="E358" s="343"/>
      <c r="F358" s="343"/>
    </row>
    <row r="359" spans="1:6">
      <c r="A359" s="343"/>
      <c r="B359" s="347"/>
      <c r="C359" s="347"/>
      <c r="D359" s="348" t="s">
        <v>405</v>
      </c>
      <c r="E359" s="343"/>
      <c r="F359" s="343"/>
    </row>
    <row r="360" spans="1:6">
      <c r="A360" s="343"/>
      <c r="B360" s="347"/>
      <c r="C360" s="347"/>
      <c r="D360" s="348" t="s">
        <v>406</v>
      </c>
      <c r="E360" s="343"/>
      <c r="F360" s="343"/>
    </row>
    <row r="361" spans="1:6">
      <c r="A361" s="343"/>
      <c r="B361" s="347"/>
      <c r="C361" s="347"/>
      <c r="D361" s="348" t="s">
        <v>407</v>
      </c>
      <c r="E361" s="343"/>
      <c r="F361" s="343"/>
    </row>
    <row r="362" spans="1:6">
      <c r="A362" s="343"/>
      <c r="B362" s="347"/>
      <c r="C362" s="347"/>
      <c r="D362" s="348" t="s">
        <v>408</v>
      </c>
      <c r="E362" s="343"/>
      <c r="F362" s="343"/>
    </row>
    <row r="363" spans="1:6">
      <c r="A363" s="343"/>
      <c r="B363" s="367"/>
      <c r="C363" s="367"/>
      <c r="D363" s="368"/>
      <c r="E363" s="343"/>
      <c r="F363" s="343"/>
    </row>
    <row r="364" spans="1:6">
      <c r="A364" s="346">
        <v>62</v>
      </c>
      <c r="B364" s="347">
        <v>6100145</v>
      </c>
      <c r="C364" s="347"/>
      <c r="D364" s="348" t="s">
        <v>403</v>
      </c>
      <c r="E364" s="343"/>
      <c r="F364" s="343"/>
    </row>
    <row r="365" spans="1:6">
      <c r="A365" s="343"/>
      <c r="B365" s="347"/>
      <c r="C365" s="347"/>
      <c r="D365" s="348" t="s">
        <v>411</v>
      </c>
      <c r="E365" s="343"/>
      <c r="F365" s="343"/>
    </row>
    <row r="366" spans="1:6">
      <c r="A366" s="343"/>
      <c r="B366" s="347"/>
      <c r="C366" s="347"/>
      <c r="D366" s="348" t="s">
        <v>412</v>
      </c>
      <c r="E366" s="343"/>
      <c r="F366" s="343"/>
    </row>
    <row r="367" spans="1:6">
      <c r="A367" s="343"/>
      <c r="B367" s="347"/>
      <c r="C367" s="347"/>
      <c r="D367" s="348" t="s">
        <v>413</v>
      </c>
      <c r="E367" s="343"/>
      <c r="F367" s="343"/>
    </row>
    <row r="368" spans="1:6">
      <c r="A368" s="343"/>
      <c r="B368" s="347"/>
      <c r="C368" s="347"/>
      <c r="D368" s="348" t="s">
        <v>408</v>
      </c>
      <c r="E368" s="343"/>
      <c r="F368" s="343"/>
    </row>
    <row r="369" spans="1:6">
      <c r="A369" s="343"/>
      <c r="B369" s="347"/>
      <c r="C369" s="347"/>
      <c r="D369" s="348" t="s">
        <v>414</v>
      </c>
      <c r="E369" s="343"/>
      <c r="F369" s="343"/>
    </row>
    <row r="370" spans="1:6">
      <c r="A370" s="343"/>
      <c r="B370" s="347"/>
      <c r="C370" s="347"/>
      <c r="D370" s="348" t="s">
        <v>408</v>
      </c>
      <c r="E370" s="343"/>
      <c r="F370" s="343"/>
    </row>
    <row r="371" spans="1:6">
      <c r="A371" s="343"/>
      <c r="B371" s="367"/>
      <c r="C371" s="367"/>
      <c r="D371" s="368"/>
      <c r="E371" s="343"/>
      <c r="F371" s="343"/>
    </row>
    <row r="372" spans="1:6">
      <c r="A372" s="346">
        <v>63</v>
      </c>
      <c r="B372" s="347">
        <v>6100058</v>
      </c>
      <c r="C372" s="347"/>
      <c r="D372" s="348" t="s">
        <v>1206</v>
      </c>
      <c r="E372" s="343"/>
      <c r="F372" s="343"/>
    </row>
    <row r="373" spans="1:6">
      <c r="A373" s="343"/>
      <c r="B373" s="347"/>
      <c r="C373" s="347"/>
      <c r="D373" s="348" t="s">
        <v>1207</v>
      </c>
      <c r="E373" s="343"/>
      <c r="F373" s="343"/>
    </row>
    <row r="374" spans="1:6">
      <c r="A374" s="343"/>
      <c r="B374" s="347"/>
      <c r="C374" s="347"/>
      <c r="D374" s="348" t="s">
        <v>1208</v>
      </c>
      <c r="E374" s="343"/>
      <c r="F374" s="343"/>
    </row>
    <row r="375" spans="1:6">
      <c r="A375" s="343"/>
      <c r="B375" s="347"/>
      <c r="C375" s="347"/>
      <c r="D375" s="348" t="s">
        <v>1209</v>
      </c>
      <c r="E375" s="343"/>
      <c r="F375" s="343"/>
    </row>
    <row r="376" spans="1:6">
      <c r="A376" s="343"/>
      <c r="B376" s="347"/>
      <c r="C376" s="347"/>
      <c r="D376" s="348" t="s">
        <v>1210</v>
      </c>
      <c r="E376" s="343"/>
      <c r="F376" s="343"/>
    </row>
    <row r="377" spans="1:6">
      <c r="A377" s="343"/>
      <c r="B377" s="347"/>
      <c r="C377" s="347"/>
      <c r="D377" s="348" t="s">
        <v>418</v>
      </c>
      <c r="E377" s="343"/>
      <c r="F377" s="343"/>
    </row>
    <row r="378" spans="1:6">
      <c r="A378" s="343"/>
      <c r="B378" s="367"/>
      <c r="C378" s="367"/>
      <c r="D378" s="368"/>
      <c r="E378" s="343"/>
      <c r="F378" s="343"/>
    </row>
    <row r="379" spans="1:6">
      <c r="A379" s="346">
        <v>64</v>
      </c>
      <c r="B379" s="347">
        <v>6200017</v>
      </c>
      <c r="C379" s="347"/>
      <c r="D379" s="348" t="s">
        <v>419</v>
      </c>
      <c r="E379" s="343"/>
      <c r="F379" s="343"/>
    </row>
    <row r="380" spans="1:6">
      <c r="A380" s="343"/>
      <c r="B380" s="347"/>
      <c r="C380" s="347"/>
      <c r="D380" s="348" t="s">
        <v>420</v>
      </c>
      <c r="E380" s="343"/>
      <c r="F380" s="343"/>
    </row>
    <row r="381" spans="1:6">
      <c r="A381" s="343"/>
      <c r="B381" s="347"/>
      <c r="C381" s="347"/>
      <c r="D381" s="348" t="s">
        <v>421</v>
      </c>
      <c r="E381" s="343"/>
      <c r="F381" s="343"/>
    </row>
    <row r="382" spans="1:6">
      <c r="A382" s="343"/>
      <c r="B382" s="347"/>
      <c r="C382" s="347"/>
      <c r="D382" s="348" t="s">
        <v>422</v>
      </c>
      <c r="E382" s="343"/>
      <c r="F382" s="343"/>
    </row>
    <row r="383" spans="1:6">
      <c r="A383" s="343"/>
      <c r="B383" s="347"/>
      <c r="C383" s="347"/>
      <c r="D383" s="348" t="s">
        <v>423</v>
      </c>
      <c r="E383" s="343"/>
      <c r="F383" s="343"/>
    </row>
    <row r="384" spans="1:6">
      <c r="A384" s="343"/>
      <c r="B384" s="367"/>
      <c r="C384" s="367"/>
      <c r="D384" s="368"/>
      <c r="E384" s="343"/>
      <c r="F384" s="343"/>
    </row>
    <row r="385" spans="1:6">
      <c r="A385" s="346">
        <v>65</v>
      </c>
      <c r="B385" s="347">
        <v>6100122</v>
      </c>
      <c r="C385" s="347"/>
      <c r="D385" s="348" t="s">
        <v>424</v>
      </c>
      <c r="E385" s="343"/>
      <c r="F385" s="343"/>
    </row>
    <row r="386" spans="1:6">
      <c r="A386" s="343"/>
      <c r="B386" s="347"/>
      <c r="C386" s="347"/>
      <c r="D386" s="348" t="s">
        <v>425</v>
      </c>
      <c r="E386" s="343"/>
      <c r="F386" s="343"/>
    </row>
    <row r="387" spans="1:6">
      <c r="A387" s="343"/>
      <c r="B387" s="347"/>
      <c r="C387" s="347"/>
      <c r="D387" s="348" t="s">
        <v>426</v>
      </c>
      <c r="E387" s="343"/>
      <c r="F387" s="343"/>
    </row>
    <row r="388" spans="1:6">
      <c r="A388" s="343"/>
      <c r="B388" s="347"/>
      <c r="C388" s="347"/>
      <c r="D388" s="348" t="s">
        <v>427</v>
      </c>
      <c r="E388" s="343"/>
      <c r="F388" s="343"/>
    </row>
    <row r="389" spans="1:6">
      <c r="A389" s="343"/>
      <c r="B389" s="347"/>
      <c r="C389" s="347"/>
      <c r="D389" s="348" t="s">
        <v>428</v>
      </c>
      <c r="E389" s="343"/>
      <c r="F389" s="343"/>
    </row>
    <row r="390" spans="1:6">
      <c r="A390" s="343"/>
      <c r="B390" s="347"/>
      <c r="C390" s="347"/>
      <c r="D390" s="348" t="s">
        <v>429</v>
      </c>
      <c r="E390" s="343"/>
      <c r="F390" s="343"/>
    </row>
    <row r="391" spans="1:6">
      <c r="A391" s="343"/>
      <c r="B391" s="347"/>
      <c r="C391" s="347"/>
      <c r="D391" s="348" t="s">
        <v>430</v>
      </c>
      <c r="E391" s="343"/>
      <c r="F391" s="343"/>
    </row>
    <row r="392" spans="1:6">
      <c r="A392" s="343"/>
      <c r="B392" s="367"/>
      <c r="C392" s="367"/>
      <c r="D392" s="368"/>
      <c r="E392" s="343"/>
      <c r="F392" s="343"/>
    </row>
    <row r="393" spans="1:6">
      <c r="A393" s="346">
        <v>66</v>
      </c>
      <c r="B393" s="347">
        <v>6100012</v>
      </c>
      <c r="C393" s="347"/>
      <c r="D393" s="348" t="s">
        <v>431</v>
      </c>
      <c r="E393" s="343"/>
      <c r="F393" s="343"/>
    </row>
    <row r="394" spans="1:6">
      <c r="A394" s="343"/>
      <c r="B394" s="347"/>
      <c r="C394" s="347"/>
      <c r="D394" s="348" t="s">
        <v>1211</v>
      </c>
      <c r="E394" s="343"/>
      <c r="F394" s="343"/>
    </row>
    <row r="395" spans="1:6">
      <c r="A395" s="343"/>
      <c r="B395" s="347"/>
      <c r="C395" s="347"/>
      <c r="D395" s="348" t="s">
        <v>433</v>
      </c>
      <c r="E395" s="343"/>
      <c r="F395" s="343"/>
    </row>
    <row r="396" spans="1:6">
      <c r="A396" s="343"/>
      <c r="B396" s="347"/>
      <c r="C396" s="347"/>
      <c r="D396" s="348" t="s">
        <v>434</v>
      </c>
      <c r="E396" s="343"/>
      <c r="F396" s="343"/>
    </row>
    <row r="397" spans="1:6">
      <c r="A397" s="343"/>
      <c r="B397" s="347"/>
      <c r="C397" s="347"/>
      <c r="D397" s="348" t="s">
        <v>1212</v>
      </c>
      <c r="E397" s="343"/>
      <c r="F397" s="343"/>
    </row>
    <row r="398" spans="1:6">
      <c r="A398" s="343"/>
      <c r="B398" s="347"/>
      <c r="C398" s="347"/>
      <c r="D398" s="348" t="s">
        <v>435</v>
      </c>
      <c r="E398" s="343"/>
      <c r="F398" s="343"/>
    </row>
    <row r="399" spans="1:6">
      <c r="A399" s="343"/>
      <c r="B399" s="347"/>
      <c r="C399" s="347"/>
      <c r="D399" s="348" t="s">
        <v>436</v>
      </c>
      <c r="E399" s="343"/>
      <c r="F399" s="343"/>
    </row>
    <row r="400" spans="1:6">
      <c r="A400" s="343"/>
      <c r="B400" s="367"/>
      <c r="C400" s="367"/>
      <c r="D400" s="368"/>
      <c r="E400" s="343"/>
      <c r="F400" s="343"/>
    </row>
    <row r="401" spans="1:6">
      <c r="A401" s="346">
        <v>67</v>
      </c>
      <c r="B401" s="347">
        <v>6100259</v>
      </c>
      <c r="C401" s="347"/>
      <c r="D401" s="348" t="s">
        <v>437</v>
      </c>
      <c r="E401" s="343"/>
      <c r="F401" s="343"/>
    </row>
    <row r="402" spans="1:6">
      <c r="A402" s="343"/>
      <c r="B402" s="347"/>
      <c r="C402" s="347"/>
      <c r="D402" s="348" t="s">
        <v>438</v>
      </c>
      <c r="E402" s="343"/>
      <c r="F402" s="343"/>
    </row>
    <row r="403" spans="1:6">
      <c r="A403" s="343"/>
      <c r="B403" s="347"/>
      <c r="C403" s="347"/>
      <c r="D403" s="348" t="s">
        <v>439</v>
      </c>
      <c r="E403" s="343"/>
      <c r="F403" s="343"/>
    </row>
    <row r="404" spans="1:6">
      <c r="A404" s="343"/>
      <c r="B404" s="347"/>
      <c r="C404" s="347"/>
      <c r="D404" s="348" t="s">
        <v>440</v>
      </c>
      <c r="E404" s="343"/>
      <c r="F404" s="343"/>
    </row>
    <row r="405" spans="1:6">
      <c r="A405" s="343"/>
      <c r="B405" s="347"/>
      <c r="C405" s="347"/>
      <c r="D405" s="348" t="s">
        <v>441</v>
      </c>
      <c r="E405" s="343"/>
      <c r="F405" s="343"/>
    </row>
    <row r="406" spans="1:6">
      <c r="A406" s="343"/>
      <c r="B406" s="367"/>
      <c r="C406" s="367"/>
      <c r="D406" s="368"/>
      <c r="E406" s="343"/>
      <c r="F406" s="343"/>
    </row>
    <row r="407" spans="1:6">
      <c r="A407" s="346">
        <v>68</v>
      </c>
      <c r="B407" s="347">
        <v>6100115</v>
      </c>
      <c r="C407" s="347"/>
      <c r="D407" s="348" t="s">
        <v>442</v>
      </c>
      <c r="E407" s="343"/>
      <c r="F407" s="343"/>
    </row>
    <row r="408" spans="1:6">
      <c r="A408" s="343"/>
      <c r="B408" s="347"/>
      <c r="C408" s="347"/>
      <c r="D408" s="348" t="s">
        <v>443</v>
      </c>
      <c r="E408" s="343"/>
      <c r="F408" s="343"/>
    </row>
    <row r="409" spans="1:6">
      <c r="A409" s="343"/>
      <c r="B409" s="347"/>
      <c r="C409" s="347"/>
      <c r="D409" s="348" t="s">
        <v>444</v>
      </c>
      <c r="E409" s="343"/>
      <c r="F409" s="343"/>
    </row>
    <row r="410" spans="1:6">
      <c r="A410" s="343"/>
      <c r="B410" s="347"/>
      <c r="C410" s="347"/>
      <c r="D410" s="348" t="s">
        <v>445</v>
      </c>
      <c r="E410" s="343"/>
      <c r="F410" s="343"/>
    </row>
    <row r="411" spans="1:6">
      <c r="A411" s="343"/>
      <c r="B411" s="347"/>
      <c r="C411" s="347"/>
      <c r="D411" s="348" t="s">
        <v>1213</v>
      </c>
      <c r="E411" s="343"/>
      <c r="F411" s="343"/>
    </row>
    <row r="412" spans="1:6">
      <c r="A412" s="343"/>
      <c r="B412" s="347"/>
      <c r="C412" s="347"/>
      <c r="D412" s="348" t="s">
        <v>446</v>
      </c>
      <c r="E412" s="343"/>
      <c r="F412" s="343"/>
    </row>
    <row r="413" spans="1:6">
      <c r="A413" s="343"/>
      <c r="B413" s="347"/>
      <c r="C413" s="347"/>
      <c r="D413" s="348" t="s">
        <v>1214</v>
      </c>
      <c r="E413" s="343"/>
      <c r="F413" s="343"/>
    </row>
    <row r="414" spans="1:6">
      <c r="A414" s="343"/>
      <c r="B414" s="347"/>
      <c r="C414" s="347"/>
      <c r="D414" s="348" t="s">
        <v>276</v>
      </c>
      <c r="E414" s="343"/>
      <c r="F414" s="343"/>
    </row>
    <row r="415" spans="1:6">
      <c r="A415" s="343"/>
      <c r="B415" s="367"/>
      <c r="C415" s="367"/>
      <c r="D415" s="368"/>
      <c r="E415" s="343"/>
      <c r="F415" s="343"/>
    </row>
    <row r="416" spans="1:6">
      <c r="A416" s="346">
        <v>69</v>
      </c>
      <c r="B416" s="347">
        <v>6100244</v>
      </c>
      <c r="C416" s="347"/>
      <c r="D416" s="348" t="s">
        <v>448</v>
      </c>
      <c r="E416" s="343"/>
      <c r="F416" s="343"/>
    </row>
    <row r="417" spans="1:6">
      <c r="A417" s="343"/>
      <c r="B417" s="347"/>
      <c r="C417" s="347"/>
      <c r="D417" s="348" t="s">
        <v>449</v>
      </c>
      <c r="E417" s="343"/>
      <c r="F417" s="343"/>
    </row>
    <row r="418" spans="1:6">
      <c r="A418" s="343"/>
      <c r="B418" s="347"/>
      <c r="C418" s="347"/>
      <c r="D418" s="348" t="s">
        <v>450</v>
      </c>
      <c r="E418" s="343"/>
      <c r="F418" s="343"/>
    </row>
    <row r="419" spans="1:6">
      <c r="A419" s="343"/>
      <c r="B419" s="347"/>
      <c r="C419" s="347"/>
      <c r="D419" s="348" t="s">
        <v>451</v>
      </c>
      <c r="E419" s="343"/>
      <c r="F419" s="343"/>
    </row>
    <row r="420" spans="1:6">
      <c r="A420" s="343"/>
      <c r="B420" s="347"/>
      <c r="C420" s="347"/>
      <c r="D420" s="348" t="s">
        <v>452</v>
      </c>
      <c r="E420" s="343"/>
      <c r="F420" s="343"/>
    </row>
    <row r="421" spans="1:6">
      <c r="A421" s="343"/>
      <c r="B421" s="367"/>
      <c r="C421" s="367"/>
      <c r="D421" s="368"/>
      <c r="E421" s="343"/>
      <c r="F421" s="343"/>
    </row>
    <row r="422" spans="1:6">
      <c r="A422" s="346">
        <v>70</v>
      </c>
      <c r="B422" s="347">
        <v>6200088</v>
      </c>
      <c r="C422" s="347"/>
      <c r="D422" s="348" t="s">
        <v>448</v>
      </c>
      <c r="E422" s="343"/>
      <c r="F422" s="343"/>
    </row>
    <row r="423" spans="1:6">
      <c r="A423" s="343"/>
      <c r="B423" s="347"/>
      <c r="C423" s="347"/>
      <c r="D423" s="348" t="s">
        <v>1215</v>
      </c>
      <c r="E423" s="343"/>
      <c r="F423" s="343"/>
    </row>
    <row r="424" spans="1:6">
      <c r="A424" s="343"/>
      <c r="B424" s="347"/>
      <c r="C424" s="347"/>
      <c r="D424" s="348" t="s">
        <v>455</v>
      </c>
      <c r="E424" s="343"/>
      <c r="F424" s="343"/>
    </row>
    <row r="425" spans="1:6">
      <c r="A425" s="343"/>
      <c r="B425" s="347"/>
      <c r="C425" s="347"/>
      <c r="D425" s="348" t="s">
        <v>456</v>
      </c>
      <c r="E425" s="343"/>
      <c r="F425" s="343"/>
    </row>
    <row r="426" spans="1:6">
      <c r="A426" s="343"/>
      <c r="B426" s="347"/>
      <c r="C426" s="347"/>
      <c r="D426" s="348" t="s">
        <v>452</v>
      </c>
      <c r="E426" s="343"/>
      <c r="F426" s="343"/>
    </row>
    <row r="427" spans="1:6">
      <c r="A427" s="343"/>
      <c r="B427" s="367"/>
      <c r="C427" s="367"/>
      <c r="D427" s="368"/>
      <c r="E427" s="343"/>
      <c r="F427" s="343"/>
    </row>
    <row r="428" spans="1:6">
      <c r="A428" s="346">
        <f>A422+1</f>
        <v>71</v>
      </c>
      <c r="B428" s="347">
        <v>5103614</v>
      </c>
      <c r="C428" s="347"/>
      <c r="D428" s="348" t="s">
        <v>457</v>
      </c>
      <c r="E428" s="343"/>
      <c r="F428" s="343"/>
    </row>
    <row r="429" spans="1:6">
      <c r="A429" s="343"/>
      <c r="B429" s="347"/>
      <c r="C429" s="347"/>
      <c r="D429" s="348" t="s">
        <v>458</v>
      </c>
      <c r="E429" s="343"/>
      <c r="F429" s="343"/>
    </row>
    <row r="430" spans="1:6">
      <c r="A430" s="343"/>
      <c r="B430" s="347"/>
      <c r="C430" s="347"/>
      <c r="D430" s="348" t="s">
        <v>459</v>
      </c>
      <c r="E430" s="343"/>
      <c r="F430" s="343"/>
    </row>
    <row r="431" spans="1:6">
      <c r="A431" s="343"/>
      <c r="B431" s="347"/>
      <c r="C431" s="347"/>
      <c r="D431" s="348" t="s">
        <v>460</v>
      </c>
      <c r="E431" s="343"/>
      <c r="F431" s="343"/>
    </row>
    <row r="432" spans="1:6">
      <c r="A432" s="343"/>
      <c r="B432" s="347"/>
      <c r="C432" s="347"/>
      <c r="D432" s="348" t="s">
        <v>461</v>
      </c>
      <c r="E432" s="343"/>
      <c r="F432" s="343"/>
    </row>
    <row r="433" spans="1:6">
      <c r="A433" s="343"/>
      <c r="B433" s="347"/>
      <c r="C433" s="347"/>
      <c r="D433" s="348" t="s">
        <v>122</v>
      </c>
      <c r="E433" s="343"/>
      <c r="F433" s="343"/>
    </row>
    <row r="434" spans="1:6">
      <c r="A434" s="343"/>
      <c r="B434" s="367"/>
      <c r="C434" s="367"/>
      <c r="D434" s="368"/>
      <c r="E434" s="343"/>
      <c r="F434" s="343"/>
    </row>
    <row r="435" spans="1:6">
      <c r="A435" s="346">
        <f>A428+1</f>
        <v>72</v>
      </c>
      <c r="B435" s="347">
        <v>5117267</v>
      </c>
      <c r="C435" s="347"/>
      <c r="D435" s="348" t="s">
        <v>462</v>
      </c>
      <c r="E435" s="343"/>
      <c r="F435" s="343"/>
    </row>
    <row r="436" spans="1:6">
      <c r="A436" s="343"/>
      <c r="B436" s="347"/>
      <c r="C436" s="347"/>
      <c r="D436" s="348" t="s">
        <v>465</v>
      </c>
      <c r="E436" s="343"/>
      <c r="F436" s="343"/>
    </row>
    <row r="437" spans="1:6">
      <c r="A437" s="343"/>
      <c r="B437" s="347"/>
      <c r="C437" s="347"/>
      <c r="D437" s="348" t="s">
        <v>464</v>
      </c>
      <c r="E437" s="343"/>
      <c r="F437" s="343"/>
    </row>
    <row r="438" spans="1:6">
      <c r="A438" s="343"/>
      <c r="B438" s="347"/>
      <c r="C438" s="347"/>
      <c r="D438" s="348" t="s">
        <v>1216</v>
      </c>
      <c r="E438" s="343"/>
      <c r="F438" s="343"/>
    </row>
    <row r="439" spans="1:6">
      <c r="A439" s="343"/>
      <c r="B439" s="347"/>
      <c r="C439" s="347"/>
      <c r="D439" s="348" t="s">
        <v>122</v>
      </c>
      <c r="E439" s="343"/>
      <c r="F439" s="343"/>
    </row>
    <row r="440" spans="1:6">
      <c r="A440" s="343"/>
      <c r="B440" s="367"/>
      <c r="C440" s="367"/>
      <c r="D440" s="368"/>
      <c r="E440" s="343"/>
      <c r="F440" s="343"/>
    </row>
    <row r="441" spans="1:6">
      <c r="A441" s="346">
        <f>A435+1</f>
        <v>73</v>
      </c>
      <c r="B441" s="347">
        <v>5117268</v>
      </c>
      <c r="C441" s="347"/>
      <c r="D441" s="348" t="s">
        <v>467</v>
      </c>
      <c r="E441" s="343"/>
      <c r="F441" s="343"/>
    </row>
    <row r="442" spans="1:6">
      <c r="A442" s="343"/>
      <c r="B442" s="347"/>
      <c r="C442" s="347"/>
      <c r="D442" s="348" t="s">
        <v>468</v>
      </c>
      <c r="E442" s="343"/>
      <c r="F442" s="343"/>
    </row>
    <row r="443" spans="1:6">
      <c r="A443" s="343"/>
      <c r="B443" s="347"/>
      <c r="C443" s="347"/>
      <c r="D443" s="348" t="s">
        <v>469</v>
      </c>
      <c r="E443" s="343"/>
      <c r="F443" s="343"/>
    </row>
    <row r="444" spans="1:6">
      <c r="A444" s="343"/>
      <c r="B444" s="347"/>
      <c r="C444" s="347"/>
      <c r="D444" s="348" t="s">
        <v>122</v>
      </c>
      <c r="E444" s="343"/>
      <c r="F444" s="343"/>
    </row>
    <row r="445" spans="1:6">
      <c r="A445" s="343"/>
      <c r="B445" s="367"/>
      <c r="C445" s="367"/>
      <c r="D445" s="368"/>
      <c r="E445" s="343"/>
      <c r="F445" s="343"/>
    </row>
    <row r="446" spans="1:6">
      <c r="A446" s="346">
        <v>74</v>
      </c>
      <c r="B446" s="347">
        <v>5300037</v>
      </c>
      <c r="C446" s="347"/>
      <c r="D446" s="348" t="s">
        <v>11</v>
      </c>
      <c r="E446" s="343"/>
      <c r="F446" s="343"/>
    </row>
    <row r="447" spans="1:6">
      <c r="A447" s="343"/>
      <c r="B447" s="347"/>
      <c r="C447" s="347"/>
      <c r="D447" s="348" t="s">
        <v>1217</v>
      </c>
      <c r="E447" s="343"/>
      <c r="F447" s="343"/>
    </row>
    <row r="448" spans="1:6">
      <c r="A448" s="343"/>
      <c r="B448" s="347"/>
      <c r="C448" s="347"/>
      <c r="D448" s="348" t="s">
        <v>124</v>
      </c>
      <c r="E448" s="343"/>
      <c r="F448" s="343"/>
    </row>
    <row r="449" spans="1:6">
      <c r="A449" s="343"/>
      <c r="B449" s="347"/>
      <c r="C449" s="347"/>
      <c r="D449" s="348" t="s">
        <v>125</v>
      </c>
      <c r="E449" s="343"/>
      <c r="F449" s="343"/>
    </row>
    <row r="450" spans="1:6">
      <c r="A450" s="343"/>
      <c r="B450" s="347"/>
      <c r="C450" s="347"/>
      <c r="D450" s="348" t="s">
        <v>126</v>
      </c>
      <c r="E450" s="343"/>
      <c r="F450" s="343"/>
    </row>
    <row r="451" spans="1:6">
      <c r="A451" s="343"/>
      <c r="B451" s="347"/>
      <c r="C451" s="347"/>
      <c r="D451" s="348" t="s">
        <v>127</v>
      </c>
      <c r="E451" s="343"/>
      <c r="F451" s="343"/>
    </row>
    <row r="452" spans="1:6">
      <c r="A452" s="343"/>
      <c r="B452" s="347"/>
      <c r="C452" s="347"/>
      <c r="D452" s="348" t="s">
        <v>128</v>
      </c>
      <c r="E452" s="343"/>
      <c r="F452" s="343"/>
    </row>
    <row r="453" spans="1:6">
      <c r="A453" s="343"/>
      <c r="B453" s="347"/>
      <c r="C453" s="347"/>
      <c r="D453" s="348" t="s">
        <v>122</v>
      </c>
      <c r="E453" s="343"/>
      <c r="F453" s="343"/>
    </row>
    <row r="454" spans="1:6">
      <c r="B454" s="367"/>
      <c r="C454" s="367"/>
      <c r="D454" s="368"/>
    </row>
    <row r="455" spans="1:6">
      <c r="A455" s="346">
        <f>A446+1</f>
        <v>75</v>
      </c>
      <c r="B455" s="347">
        <v>5114262</v>
      </c>
      <c r="C455" s="347"/>
      <c r="D455" s="348" t="s">
        <v>470</v>
      </c>
    </row>
    <row r="456" spans="1:6">
      <c r="B456" s="347"/>
      <c r="C456" s="347"/>
      <c r="D456" s="348" t="s">
        <v>471</v>
      </c>
    </row>
    <row r="457" spans="1:6">
      <c r="B457" s="347"/>
      <c r="C457" s="347"/>
      <c r="D457" s="348" t="s">
        <v>472</v>
      </c>
    </row>
    <row r="458" spans="1:6">
      <c r="B458" s="347"/>
      <c r="C458" s="347"/>
      <c r="D458" s="348" t="s">
        <v>128</v>
      </c>
    </row>
    <row r="459" spans="1:6">
      <c r="B459" s="347"/>
      <c r="C459" s="347"/>
      <c r="D459" s="348" t="s">
        <v>122</v>
      </c>
    </row>
    <row r="460" spans="1:6">
      <c r="B460" s="367"/>
      <c r="C460" s="367"/>
      <c r="D460" s="368"/>
    </row>
    <row r="461" spans="1:6">
      <c r="A461" s="346">
        <f>A455+1</f>
        <v>76</v>
      </c>
      <c r="B461" s="347">
        <v>6100229</v>
      </c>
      <c r="C461" s="347"/>
      <c r="D461" s="348" t="s">
        <v>473</v>
      </c>
    </row>
    <row r="462" spans="1:6">
      <c r="B462" s="347"/>
      <c r="C462" s="347"/>
      <c r="D462" s="348" t="s">
        <v>474</v>
      </c>
    </row>
    <row r="463" spans="1:6">
      <c r="B463" s="347"/>
      <c r="C463" s="347"/>
      <c r="D463" s="348" t="s">
        <v>475</v>
      </c>
    </row>
    <row r="464" spans="1:6">
      <c r="B464" s="347"/>
      <c r="C464" s="347"/>
      <c r="D464" s="348" t="s">
        <v>476</v>
      </c>
    </row>
    <row r="465" spans="1:4">
      <c r="B465" s="347"/>
      <c r="C465" s="347"/>
      <c r="D465" s="348" t="s">
        <v>477</v>
      </c>
    </row>
    <row r="466" spans="1:4">
      <c r="B466" s="367"/>
      <c r="C466" s="367"/>
      <c r="D466" s="368"/>
    </row>
    <row r="467" spans="1:4">
      <c r="A467" s="346">
        <f>A461+1</f>
        <v>77</v>
      </c>
      <c r="B467" s="347">
        <v>5107265</v>
      </c>
      <c r="C467" s="347"/>
      <c r="D467" s="348" t="s">
        <v>478</v>
      </c>
    </row>
    <row r="468" spans="1:4">
      <c r="B468" s="347"/>
      <c r="C468" s="347"/>
      <c r="D468" s="348" t="s">
        <v>479</v>
      </c>
    </row>
    <row r="469" spans="1:4">
      <c r="B469" s="347"/>
      <c r="C469" s="347"/>
      <c r="D469" s="348" t="s">
        <v>480</v>
      </c>
    </row>
    <row r="470" spans="1:4">
      <c r="B470" s="347"/>
      <c r="C470" s="347"/>
      <c r="D470" s="348" t="s">
        <v>481</v>
      </c>
    </row>
    <row r="471" spans="1:4">
      <c r="B471" s="347"/>
      <c r="C471" s="347"/>
      <c r="D471" s="348" t="s">
        <v>482</v>
      </c>
    </row>
    <row r="472" spans="1:4">
      <c r="B472" s="347"/>
      <c r="C472" s="347"/>
      <c r="D472" s="348" t="s">
        <v>122</v>
      </c>
    </row>
    <row r="473" spans="1:4">
      <c r="B473" s="367"/>
      <c r="C473" s="367"/>
      <c r="D473" s="368"/>
    </row>
    <row r="474" spans="1:4">
      <c r="A474" s="346">
        <v>78</v>
      </c>
      <c r="B474" s="347">
        <v>6100299</v>
      </c>
      <c r="C474" s="347"/>
      <c r="D474" s="348" t="s">
        <v>483</v>
      </c>
    </row>
    <row r="475" spans="1:4">
      <c r="B475" s="347"/>
      <c r="C475" s="347"/>
      <c r="D475" s="348" t="s">
        <v>484</v>
      </c>
    </row>
    <row r="476" spans="1:4">
      <c r="B476" s="347"/>
      <c r="C476" s="347"/>
      <c r="D476" s="348" t="s">
        <v>485</v>
      </c>
    </row>
    <row r="477" spans="1:4">
      <c r="B477" s="347"/>
      <c r="C477" s="347"/>
      <c r="D477" s="348" t="s">
        <v>486</v>
      </c>
    </row>
    <row r="478" spans="1:4">
      <c r="B478" s="347"/>
      <c r="C478" s="347"/>
      <c r="D478" s="348" t="s">
        <v>487</v>
      </c>
    </row>
    <row r="479" spans="1:4">
      <c r="B479" s="367"/>
      <c r="C479" s="367"/>
      <c r="D479" s="368"/>
    </row>
    <row r="480" spans="1:4">
      <c r="A480" s="346">
        <v>79</v>
      </c>
      <c r="B480" s="347">
        <v>6200097</v>
      </c>
      <c r="C480" s="347"/>
      <c r="D480" s="348" t="s">
        <v>488</v>
      </c>
    </row>
    <row r="481" spans="2:4">
      <c r="B481" s="347"/>
      <c r="C481" s="347"/>
      <c r="D481" s="348" t="s">
        <v>489</v>
      </c>
    </row>
    <row r="482" spans="2:4">
      <c r="B482" s="347"/>
      <c r="C482" s="347"/>
      <c r="D482" s="348" t="s">
        <v>490</v>
      </c>
    </row>
    <row r="483" spans="2:4">
      <c r="B483" s="347"/>
      <c r="C483" s="347"/>
      <c r="D483" s="348" t="s">
        <v>491</v>
      </c>
    </row>
    <row r="484" spans="2:4">
      <c r="B484" s="367"/>
      <c r="C484" s="367"/>
      <c r="D484" s="368"/>
    </row>
    <row r="485" spans="2:4">
      <c r="B485" s="347">
        <v>6100280</v>
      </c>
      <c r="C485" s="347"/>
      <c r="D485" s="348" t="s">
        <v>492</v>
      </c>
    </row>
    <row r="486" spans="2:4">
      <c r="B486" s="347"/>
      <c r="C486" s="347"/>
      <c r="D486" s="348" t="s">
        <v>493</v>
      </c>
    </row>
    <row r="487" spans="2:4">
      <c r="B487" s="347"/>
      <c r="C487" s="347"/>
      <c r="D487" s="348" t="s">
        <v>494</v>
      </c>
    </row>
    <row r="488" spans="2:4">
      <c r="B488" s="347"/>
      <c r="C488" s="347"/>
      <c r="D488" s="348" t="s">
        <v>495</v>
      </c>
    </row>
    <row r="489" spans="2:4">
      <c r="B489" s="347"/>
      <c r="C489" s="347"/>
      <c r="D489" s="348" t="s">
        <v>496</v>
      </c>
    </row>
    <row r="490" spans="2:4">
      <c r="B490" s="367"/>
      <c r="C490" s="367"/>
      <c r="D490" s="368"/>
    </row>
    <row r="491" spans="2:4">
      <c r="B491" s="347">
        <v>6200075</v>
      </c>
      <c r="C491" s="347"/>
      <c r="D491" s="348" t="s">
        <v>497</v>
      </c>
    </row>
    <row r="492" spans="2:4">
      <c r="B492" s="347"/>
      <c r="C492" s="347"/>
      <c r="D492" s="348" t="s">
        <v>498</v>
      </c>
    </row>
    <row r="493" spans="2:4">
      <c r="B493" s="347"/>
      <c r="C493" s="347"/>
      <c r="D493" s="348" t="s">
        <v>499</v>
      </c>
    </row>
    <row r="494" spans="2:4">
      <c r="B494" s="347"/>
      <c r="C494" s="347"/>
      <c r="D494" s="348" t="s">
        <v>500</v>
      </c>
    </row>
    <row r="495" spans="2:4">
      <c r="B495" s="367"/>
      <c r="C495" s="367"/>
      <c r="D495" s="368"/>
    </row>
    <row r="496" spans="2:4">
      <c r="B496" s="347">
        <v>5101610</v>
      </c>
      <c r="C496" s="347"/>
      <c r="D496" s="348" t="s">
        <v>1218</v>
      </c>
    </row>
    <row r="497" spans="2:4">
      <c r="B497" s="347"/>
      <c r="C497" s="347"/>
      <c r="D497" s="348" t="s">
        <v>203</v>
      </c>
    </row>
    <row r="498" spans="2:4">
      <c r="B498" s="347"/>
      <c r="C498" s="347"/>
      <c r="D498" s="348" t="s">
        <v>502</v>
      </c>
    </row>
    <row r="499" spans="2:4">
      <c r="B499" s="347"/>
      <c r="C499" s="347"/>
      <c r="D499" s="348" t="s">
        <v>503</v>
      </c>
    </row>
    <row r="500" spans="2:4">
      <c r="B500" s="347"/>
      <c r="C500" s="347"/>
      <c r="D500" s="348" t="s">
        <v>504</v>
      </c>
    </row>
    <row r="501" spans="2:4">
      <c r="B501" s="347"/>
      <c r="C501" s="347"/>
      <c r="D501" s="348" t="s">
        <v>505</v>
      </c>
    </row>
    <row r="502" spans="2:4">
      <c r="B502" s="347"/>
      <c r="C502" s="347"/>
      <c r="D502" s="348" t="s">
        <v>122</v>
      </c>
    </row>
    <row r="503" spans="2:4">
      <c r="B503" s="367"/>
      <c r="C503" s="367"/>
      <c r="D503" s="368"/>
    </row>
    <row r="504" spans="2:4">
      <c r="B504" s="347">
        <v>5104481</v>
      </c>
      <c r="C504" s="347"/>
      <c r="D504" s="348" t="s">
        <v>506</v>
      </c>
    </row>
    <row r="505" spans="2:4">
      <c r="B505" s="347"/>
      <c r="C505" s="347"/>
      <c r="D505" s="348" t="s">
        <v>507</v>
      </c>
    </row>
    <row r="506" spans="2:4">
      <c r="B506" s="347"/>
      <c r="C506" s="347"/>
      <c r="D506" s="348" t="s">
        <v>508</v>
      </c>
    </row>
    <row r="507" spans="2:4">
      <c r="B507" s="347"/>
      <c r="C507" s="347"/>
      <c r="D507" s="348" t="s">
        <v>509</v>
      </c>
    </row>
    <row r="508" spans="2:4">
      <c r="B508" s="347"/>
      <c r="C508" s="347"/>
      <c r="D508" s="348" t="s">
        <v>510</v>
      </c>
    </row>
    <row r="509" spans="2:4">
      <c r="B509" s="347"/>
      <c r="C509" s="347"/>
      <c r="D509" s="348" t="s">
        <v>314</v>
      </c>
    </row>
    <row r="510" spans="2:4">
      <c r="B510" s="347"/>
      <c r="C510" s="347"/>
      <c r="D510" s="348" t="s">
        <v>122</v>
      </c>
    </row>
    <row r="511" spans="2:4">
      <c r="B511" s="367"/>
      <c r="C511" s="367"/>
      <c r="D511" s="368"/>
    </row>
    <row r="512" spans="2:4">
      <c r="B512" s="347">
        <v>6200098</v>
      </c>
      <c r="C512" s="347"/>
      <c r="D512" s="348" t="s">
        <v>511</v>
      </c>
    </row>
    <row r="513" spans="2:4">
      <c r="B513" s="347"/>
      <c r="C513" s="347"/>
      <c r="D513" s="348" t="s">
        <v>513</v>
      </c>
    </row>
    <row r="514" spans="2:4">
      <c r="B514" s="347"/>
      <c r="C514" s="347"/>
      <c r="D514" s="348" t="s">
        <v>512</v>
      </c>
    </row>
    <row r="515" spans="2:4">
      <c r="B515" s="347"/>
      <c r="C515" s="347"/>
      <c r="D515" s="348" t="s">
        <v>1219</v>
      </c>
    </row>
    <row r="516" spans="2:4">
      <c r="B516" s="367"/>
      <c r="C516" s="367"/>
      <c r="D516" s="368"/>
    </row>
    <row r="517" spans="2:4">
      <c r="B517" s="347">
        <v>5117607</v>
      </c>
      <c r="C517" s="347"/>
      <c r="D517" s="348" t="s">
        <v>516</v>
      </c>
    </row>
    <row r="518" spans="2:4">
      <c r="B518" s="347"/>
      <c r="C518" s="347"/>
      <c r="D518" s="348" t="s">
        <v>1220</v>
      </c>
    </row>
    <row r="519" spans="2:4">
      <c r="B519" s="347"/>
      <c r="C519" s="347"/>
      <c r="D519" s="348" t="s">
        <v>1221</v>
      </c>
    </row>
    <row r="520" spans="2:4">
      <c r="B520" s="347"/>
      <c r="C520" s="347"/>
      <c r="D520" s="348" t="s">
        <v>1222</v>
      </c>
    </row>
    <row r="521" spans="2:4">
      <c r="B521" s="347"/>
      <c r="C521" s="347"/>
      <c r="D521" s="348" t="s">
        <v>505</v>
      </c>
    </row>
    <row r="522" spans="2:4">
      <c r="B522" s="347"/>
      <c r="C522" s="347"/>
      <c r="D522" s="348" t="s">
        <v>122</v>
      </c>
    </row>
    <row r="523" spans="2:4">
      <c r="B523" s="367"/>
      <c r="C523" s="367"/>
      <c r="D523" s="368"/>
    </row>
  </sheetData>
  <mergeCells count="1">
    <mergeCell ref="H1:H2"/>
  </mergeCells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1"/>
  <sheetViews>
    <sheetView workbookViewId="0">
      <selection activeCell="A2" sqref="A2"/>
    </sheetView>
  </sheetViews>
  <sheetFormatPr defaultColWidth="9" defaultRowHeight="12.75"/>
  <cols>
    <col min="1" max="1" width="19.28515625" customWidth="1"/>
    <col min="2" max="2" width="60.85546875" customWidth="1"/>
    <col min="3" max="3" width="23.5703125" customWidth="1"/>
    <col min="4" max="4" width="7.42578125" customWidth="1"/>
    <col min="5" max="5" width="11.140625" customWidth="1"/>
    <col min="6" max="6" width="10.28515625" customWidth="1"/>
    <col min="7" max="7" width="22.5703125" customWidth="1"/>
    <col min="8" max="9" width="16.85546875" customWidth="1"/>
    <col min="10" max="10" width="23.28515625" customWidth="1"/>
  </cols>
  <sheetData>
    <row r="1" spans="1:12" s="330" customFormat="1" ht="20.25">
      <c r="A1" s="331" t="s">
        <v>1223</v>
      </c>
      <c r="B1" s="331" t="s">
        <v>1224</v>
      </c>
      <c r="C1" s="331" t="s">
        <v>1225</v>
      </c>
      <c r="D1" s="331" t="s">
        <v>1226</v>
      </c>
      <c r="E1" s="331" t="s">
        <v>1227</v>
      </c>
      <c r="F1" s="331" t="s">
        <v>1228</v>
      </c>
      <c r="G1" s="331" t="s">
        <v>1229</v>
      </c>
      <c r="H1" s="332">
        <v>2.5000000000000001E-2</v>
      </c>
      <c r="I1" s="332">
        <v>2.5000000000000001E-2</v>
      </c>
      <c r="J1" s="331" t="s">
        <v>1230</v>
      </c>
      <c r="K1" s="331"/>
      <c r="L1" s="331"/>
    </row>
    <row r="2" spans="1:12" ht="26.25">
      <c r="A2" s="331" t="s">
        <v>826</v>
      </c>
      <c r="B2" s="331" t="s">
        <v>827</v>
      </c>
      <c r="C2" s="333"/>
      <c r="D2" s="333"/>
      <c r="E2" s="333" t="s">
        <v>1053</v>
      </c>
      <c r="F2" s="333"/>
      <c r="G2" s="334">
        <f>C2*F2</f>
        <v>0</v>
      </c>
      <c r="H2" s="334">
        <f>G2*2.5/100</f>
        <v>0</v>
      </c>
      <c r="I2" s="334">
        <f>G2*2.5/100</f>
        <v>0</v>
      </c>
      <c r="J2" s="334">
        <f>G2+H2+I2</f>
        <v>0</v>
      </c>
      <c r="K2" s="336"/>
      <c r="L2" s="336"/>
    </row>
    <row r="3" spans="1:12" ht="26.25">
      <c r="A3" s="331"/>
      <c r="B3" s="331"/>
      <c r="C3" s="333"/>
      <c r="D3" s="333"/>
      <c r="E3" s="333" t="s">
        <v>1053</v>
      </c>
      <c r="F3" s="333"/>
      <c r="G3" s="334"/>
      <c r="H3" s="334"/>
      <c r="I3" s="334"/>
      <c r="J3" s="334"/>
      <c r="K3" s="336"/>
      <c r="L3" s="336"/>
    </row>
    <row r="4" spans="1:12" ht="26.25">
      <c r="A4" s="331"/>
      <c r="B4" s="331"/>
      <c r="C4" s="333"/>
      <c r="D4" s="333"/>
      <c r="E4" s="333" t="s">
        <v>1053</v>
      </c>
      <c r="F4" s="333"/>
      <c r="G4" s="334"/>
      <c r="H4" s="334"/>
      <c r="I4" s="334"/>
      <c r="J4" s="334"/>
      <c r="K4" s="336"/>
      <c r="L4" s="336"/>
    </row>
    <row r="5" spans="1:12" ht="26.25">
      <c r="A5" s="331"/>
      <c r="B5" s="331"/>
      <c r="C5" s="333"/>
      <c r="D5" s="333"/>
      <c r="E5" s="333" t="s">
        <v>1053</v>
      </c>
      <c r="F5" s="333"/>
      <c r="G5" s="334"/>
      <c r="H5" s="334"/>
      <c r="I5" s="334"/>
      <c r="J5" s="334"/>
      <c r="K5" s="336"/>
      <c r="L5" s="336"/>
    </row>
    <row r="6" spans="1:12" ht="26.25">
      <c r="A6" s="331"/>
      <c r="B6" s="331"/>
      <c r="C6" s="333"/>
      <c r="D6" s="333"/>
      <c r="E6" s="333" t="s">
        <v>1053</v>
      </c>
      <c r="F6" s="333"/>
      <c r="G6" s="334"/>
      <c r="H6" s="334"/>
      <c r="I6" s="334"/>
      <c r="J6" s="334"/>
      <c r="K6" s="336"/>
      <c r="L6" s="336"/>
    </row>
    <row r="7" spans="1:12" ht="26.25">
      <c r="A7" s="331"/>
      <c r="B7" s="331"/>
      <c r="C7" s="333"/>
      <c r="D7" s="333"/>
      <c r="E7" s="333" t="s">
        <v>1053</v>
      </c>
      <c r="F7" s="333"/>
      <c r="G7" s="334"/>
      <c r="H7" s="334"/>
      <c r="I7" s="334"/>
      <c r="J7" s="334"/>
      <c r="K7" s="336"/>
      <c r="L7" s="336"/>
    </row>
    <row r="8" spans="1:12" ht="26.25">
      <c r="A8" s="331"/>
      <c r="B8" s="331"/>
      <c r="C8" s="333"/>
      <c r="D8" s="333"/>
      <c r="E8" s="333"/>
      <c r="F8" s="333"/>
      <c r="G8" s="334"/>
      <c r="H8" s="334"/>
      <c r="I8" s="334"/>
      <c r="J8" s="334"/>
      <c r="K8" s="336"/>
      <c r="L8" s="336"/>
    </row>
    <row r="9" spans="1:12" ht="26.25">
      <c r="A9" s="331"/>
      <c r="B9" s="335" t="s">
        <v>1231</v>
      </c>
      <c r="C9" s="333">
        <f>SUM(C2:C7)</f>
        <v>0</v>
      </c>
      <c r="D9" s="333"/>
      <c r="E9" s="333"/>
      <c r="F9" s="333"/>
      <c r="G9" s="334">
        <f>SUM(G2:G7)</f>
        <v>0</v>
      </c>
      <c r="H9" s="334"/>
      <c r="I9" s="334"/>
      <c r="J9" s="334">
        <f>SUM(J2:J7)</f>
        <v>0</v>
      </c>
      <c r="K9" s="336"/>
      <c r="L9" s="336"/>
    </row>
    <row r="10" spans="1:12">
      <c r="A10" s="336"/>
      <c r="B10" s="336"/>
      <c r="C10" s="336"/>
      <c r="D10" s="336"/>
      <c r="E10" s="336"/>
      <c r="F10" s="336"/>
      <c r="G10" s="336"/>
      <c r="H10" s="336"/>
      <c r="I10" s="336"/>
      <c r="J10" s="336"/>
      <c r="K10" s="336"/>
      <c r="L10" s="336"/>
    </row>
    <row r="11" spans="1:12">
      <c r="A11" s="336"/>
      <c r="B11" s="336"/>
      <c r="C11" s="336"/>
      <c r="D11" s="336"/>
      <c r="E11" s="336"/>
      <c r="F11" s="336"/>
      <c r="G11" s="336"/>
      <c r="H11" s="336"/>
      <c r="I11" s="336"/>
      <c r="J11" s="336"/>
      <c r="K11" s="336"/>
      <c r="L11" s="336"/>
    </row>
    <row r="12" spans="1:12">
      <c r="A12" s="336"/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</row>
    <row r="13" spans="1:12">
      <c r="A13" s="336"/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</row>
    <row r="14" spans="1:12">
      <c r="A14" s="336"/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</row>
    <row r="15" spans="1:12">
      <c r="A15" s="336"/>
      <c r="B15" s="336"/>
      <c r="C15" s="336"/>
      <c r="D15" s="336"/>
      <c r="E15" s="336"/>
      <c r="F15" s="336"/>
      <c r="G15" s="336"/>
      <c r="H15" s="336"/>
      <c r="I15" s="336"/>
      <c r="J15" s="336"/>
      <c r="K15" s="336"/>
      <c r="L15" s="336"/>
    </row>
    <row r="16" spans="1:12">
      <c r="A16" s="336"/>
      <c r="B16" s="336"/>
      <c r="C16" s="336"/>
      <c r="D16" s="336"/>
      <c r="E16" s="336"/>
      <c r="F16" s="336"/>
      <c r="G16" s="336"/>
      <c r="H16" s="336"/>
      <c r="I16" s="336"/>
      <c r="J16" s="336"/>
      <c r="K16" s="336"/>
      <c r="L16" s="336"/>
    </row>
    <row r="17" spans="1:12">
      <c r="A17" s="336"/>
      <c r="B17" s="336"/>
      <c r="C17" s="336"/>
      <c r="D17" s="336"/>
      <c r="E17" s="336"/>
      <c r="F17" s="336"/>
      <c r="G17" s="336"/>
      <c r="H17" s="336"/>
      <c r="I17" s="336"/>
      <c r="J17" s="336"/>
      <c r="K17" s="336"/>
      <c r="L17" s="336"/>
    </row>
    <row r="18" spans="1:12">
      <c r="A18" s="336"/>
      <c r="B18" s="336"/>
      <c r="C18" s="336"/>
      <c r="D18" s="336"/>
      <c r="E18" s="336"/>
      <c r="F18" s="336"/>
      <c r="G18" s="336"/>
      <c r="H18" s="336"/>
      <c r="I18" s="336"/>
      <c r="J18" s="336"/>
      <c r="K18" s="336"/>
      <c r="L18" s="336"/>
    </row>
    <row r="19" spans="1:12">
      <c r="A19" s="336"/>
      <c r="B19" s="336"/>
      <c r="C19" s="336"/>
      <c r="D19" s="336"/>
      <c r="E19" s="336"/>
      <c r="F19" s="336"/>
      <c r="G19" s="336"/>
      <c r="H19" s="336"/>
      <c r="I19" s="336"/>
      <c r="J19" s="336"/>
      <c r="K19" s="336"/>
      <c r="L19" s="336"/>
    </row>
    <row r="20" spans="1:12">
      <c r="A20" s="336"/>
      <c r="B20" s="336"/>
      <c r="C20" s="336"/>
      <c r="D20" s="336"/>
      <c r="E20" s="336"/>
      <c r="F20" s="336"/>
      <c r="G20" s="336"/>
      <c r="H20" s="336"/>
      <c r="I20" s="336"/>
      <c r="J20" s="336"/>
      <c r="K20" s="336"/>
      <c r="L20" s="336"/>
    </row>
    <row r="21" spans="1:12">
      <c r="A21" s="336"/>
      <c r="B21" s="336"/>
      <c r="C21" s="336"/>
      <c r="D21" s="336"/>
      <c r="E21" s="336"/>
      <c r="F21" s="336"/>
      <c r="G21" s="336"/>
      <c r="H21" s="336"/>
      <c r="I21" s="336"/>
      <c r="J21" s="336"/>
      <c r="K21" s="336"/>
      <c r="L21" s="336"/>
    </row>
    <row r="22" spans="1:12">
      <c r="A22" s="336"/>
      <c r="B22" s="336"/>
      <c r="C22" s="336"/>
      <c r="D22" s="336"/>
      <c r="E22" s="336"/>
      <c r="F22" s="336"/>
      <c r="G22" s="336"/>
      <c r="H22" s="336"/>
      <c r="I22" s="336"/>
      <c r="J22" s="336"/>
      <c r="K22" s="336"/>
      <c r="L22" s="336"/>
    </row>
    <row r="23" spans="1:12">
      <c r="A23" s="336"/>
      <c r="B23" s="336"/>
      <c r="C23" s="336"/>
      <c r="D23" s="336"/>
      <c r="E23" s="336"/>
      <c r="F23" s="336"/>
      <c r="G23" s="336"/>
      <c r="H23" s="336"/>
      <c r="I23" s="336"/>
      <c r="J23" s="336"/>
      <c r="K23" s="336"/>
      <c r="L23" s="336"/>
    </row>
    <row r="24" spans="1:12">
      <c r="A24" s="336"/>
      <c r="B24" s="336"/>
      <c r="C24" s="336"/>
      <c r="D24" s="336"/>
      <c r="E24" s="336"/>
      <c r="F24" s="336"/>
      <c r="G24" s="336"/>
      <c r="H24" s="336"/>
      <c r="I24" s="336"/>
      <c r="J24" s="336"/>
      <c r="K24" s="336"/>
      <c r="L24" s="336"/>
    </row>
    <row r="25" spans="1:12">
      <c r="A25" s="336"/>
      <c r="B25" s="336"/>
      <c r="C25" s="336"/>
      <c r="D25" s="336"/>
      <c r="E25" s="336"/>
      <c r="F25" s="336"/>
      <c r="G25" s="336"/>
      <c r="H25" s="336"/>
      <c r="I25" s="336"/>
      <c r="J25" s="336"/>
      <c r="K25" s="336"/>
      <c r="L25" s="336"/>
    </row>
    <row r="26" spans="1:12">
      <c r="A26" s="336"/>
      <c r="B26" s="336"/>
      <c r="C26" s="336"/>
      <c r="D26" s="336"/>
      <c r="E26" s="336"/>
      <c r="F26" s="336"/>
      <c r="G26" s="336"/>
      <c r="H26" s="336"/>
      <c r="I26" s="336"/>
      <c r="J26" s="336"/>
      <c r="K26" s="336"/>
      <c r="L26" s="336"/>
    </row>
    <row r="27" spans="1:12">
      <c r="A27" s="336"/>
      <c r="B27" s="336"/>
      <c r="C27" s="336"/>
      <c r="D27" s="336"/>
      <c r="E27" s="336"/>
      <c r="F27" s="336"/>
      <c r="G27" s="336"/>
      <c r="H27" s="336"/>
      <c r="I27" s="336"/>
      <c r="J27" s="336"/>
      <c r="K27" s="336"/>
      <c r="L27" s="336"/>
    </row>
    <row r="28" spans="1:12">
      <c r="A28" s="336"/>
      <c r="B28" s="336"/>
      <c r="C28" s="336"/>
      <c r="D28" s="336"/>
      <c r="E28" s="336"/>
      <c r="F28" s="336"/>
      <c r="G28" s="336"/>
      <c r="H28" s="336"/>
      <c r="I28" s="336"/>
      <c r="J28" s="336"/>
      <c r="K28" s="336"/>
      <c r="L28" s="336"/>
    </row>
    <row r="29" spans="1:12">
      <c r="A29" s="336"/>
      <c r="B29" s="336"/>
      <c r="C29" s="336"/>
      <c r="D29" s="336"/>
      <c r="E29" s="336"/>
      <c r="F29" s="336"/>
      <c r="G29" s="336"/>
      <c r="H29" s="336"/>
      <c r="I29" s="336"/>
      <c r="J29" s="336"/>
      <c r="K29" s="336"/>
      <c r="L29" s="336"/>
    </row>
    <row r="30" spans="1:12">
      <c r="A30" s="336"/>
      <c r="B30" s="336"/>
      <c r="C30" s="336"/>
      <c r="D30" s="336"/>
      <c r="E30" s="336"/>
      <c r="F30" s="336"/>
      <c r="G30" s="336"/>
      <c r="H30" s="336"/>
      <c r="I30" s="336"/>
      <c r="J30" s="336"/>
      <c r="K30" s="336"/>
      <c r="L30" s="336"/>
    </row>
    <row r="31" spans="1:12">
      <c r="A31" s="336"/>
      <c r="B31" s="336"/>
      <c r="C31" s="336"/>
      <c r="D31" s="336"/>
      <c r="E31" s="336"/>
      <c r="F31" s="336"/>
      <c r="G31" s="336"/>
      <c r="H31" s="336"/>
      <c r="I31" s="336"/>
      <c r="J31" s="336"/>
      <c r="K31" s="336"/>
      <c r="L31" s="336"/>
    </row>
    <row r="32" spans="1:12">
      <c r="A32" s="336"/>
      <c r="B32" s="336"/>
      <c r="C32" s="336"/>
      <c r="D32" s="336"/>
      <c r="E32" s="336"/>
      <c r="F32" s="336"/>
      <c r="G32" s="336"/>
      <c r="H32" s="336"/>
      <c r="I32" s="336"/>
      <c r="J32" s="336"/>
      <c r="K32" s="336"/>
      <c r="L32" s="336"/>
    </row>
    <row r="33" spans="1:12">
      <c r="A33" s="336"/>
      <c r="B33" s="336"/>
      <c r="C33" s="336"/>
      <c r="D33" s="336"/>
      <c r="E33" s="336"/>
      <c r="F33" s="336"/>
      <c r="G33" s="336"/>
      <c r="H33" s="336"/>
      <c r="I33" s="336"/>
      <c r="J33" s="336"/>
      <c r="K33" s="336"/>
      <c r="L33" s="336"/>
    </row>
    <row r="34" spans="1:12">
      <c r="A34" s="336"/>
      <c r="B34" s="336"/>
      <c r="C34" s="336"/>
      <c r="D34" s="336"/>
      <c r="E34" s="336"/>
      <c r="F34" s="336"/>
      <c r="G34" s="336"/>
      <c r="H34" s="336"/>
      <c r="I34" s="336"/>
      <c r="J34" s="336"/>
      <c r="K34" s="336"/>
      <c r="L34" s="336"/>
    </row>
    <row r="35" spans="1:12">
      <c r="A35" s="336"/>
      <c r="B35" s="336"/>
      <c r="C35" s="336"/>
      <c r="D35" s="336"/>
      <c r="E35" s="336"/>
      <c r="F35" s="336"/>
      <c r="G35" s="336"/>
      <c r="H35" s="336"/>
      <c r="I35" s="336"/>
      <c r="J35" s="336"/>
      <c r="K35" s="336"/>
      <c r="L35" s="336"/>
    </row>
    <row r="36" spans="1:12">
      <c r="A36" s="336"/>
      <c r="B36" s="336"/>
      <c r="C36" s="336"/>
      <c r="D36" s="336"/>
      <c r="E36" s="336"/>
      <c r="F36" s="336"/>
      <c r="G36" s="336"/>
      <c r="H36" s="336"/>
      <c r="I36" s="336"/>
      <c r="J36" s="336"/>
      <c r="K36" s="336"/>
      <c r="L36" s="336"/>
    </row>
    <row r="37" spans="1:12">
      <c r="A37" s="336"/>
      <c r="B37" s="336"/>
      <c r="C37" s="336"/>
      <c r="D37" s="336"/>
      <c r="E37" s="336"/>
      <c r="F37" s="336"/>
      <c r="G37" s="336"/>
      <c r="H37" s="336"/>
      <c r="I37" s="336"/>
      <c r="J37" s="336"/>
      <c r="K37" s="336"/>
      <c r="L37" s="336"/>
    </row>
    <row r="38" spans="1:12">
      <c r="A38" s="336"/>
      <c r="B38" s="336"/>
      <c r="C38" s="336"/>
      <c r="D38" s="336"/>
      <c r="E38" s="336"/>
      <c r="F38" s="336"/>
      <c r="G38" s="336"/>
      <c r="H38" s="336"/>
      <c r="I38" s="336"/>
      <c r="J38" s="336"/>
      <c r="K38" s="336"/>
      <c r="L38" s="336"/>
    </row>
    <row r="39" spans="1:12">
      <c r="A39" s="336"/>
      <c r="B39" s="336"/>
      <c r="C39" s="336"/>
      <c r="D39" s="336"/>
      <c r="E39" s="336"/>
      <c r="F39" s="336"/>
      <c r="G39" s="336"/>
      <c r="H39" s="336"/>
      <c r="I39" s="336"/>
      <c r="J39" s="336"/>
      <c r="K39" s="336"/>
      <c r="L39" s="336"/>
    </row>
    <row r="40" spans="1:12">
      <c r="A40" s="336"/>
      <c r="B40" s="336"/>
      <c r="C40" s="336"/>
      <c r="D40" s="336"/>
      <c r="E40" s="336"/>
      <c r="F40" s="336"/>
      <c r="G40" s="336"/>
      <c r="H40" s="336"/>
      <c r="I40" s="336"/>
      <c r="J40" s="336"/>
      <c r="K40" s="336"/>
      <c r="L40" s="336"/>
    </row>
    <row r="41" spans="1:12">
      <c r="A41" s="336"/>
      <c r="B41" s="336"/>
      <c r="C41" s="336"/>
      <c r="D41" s="336"/>
      <c r="E41" s="336"/>
      <c r="F41" s="336"/>
      <c r="G41" s="336"/>
      <c r="H41" s="336"/>
      <c r="I41" s="336"/>
      <c r="J41" s="336"/>
      <c r="K41" s="336"/>
      <c r="L41" s="336"/>
    </row>
  </sheetData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N86"/>
  <sheetViews>
    <sheetView showGridLines="0" zoomScale="40" zoomScaleNormal="40" workbookViewId="0"/>
  </sheetViews>
  <sheetFormatPr defaultColWidth="9.140625" defaultRowHeight="59.25"/>
  <cols>
    <col min="1" max="1" width="21.28515625" style="299" customWidth="1"/>
    <col min="2" max="2" width="83.7109375" style="300" customWidth="1"/>
    <col min="3" max="3" width="26.140625" style="299" hidden="1" customWidth="1"/>
    <col min="4" max="4" width="10.28515625" style="299" hidden="1" customWidth="1"/>
    <col min="5" max="5" width="121.140625" style="299" customWidth="1"/>
    <col min="6" max="6" width="29.7109375" style="299" customWidth="1"/>
    <col min="7" max="7" width="53.7109375" style="299" customWidth="1"/>
    <col min="8" max="8" width="246.85546875" style="299" customWidth="1"/>
    <col min="9" max="9" width="31.85546875" style="299" customWidth="1"/>
    <col min="10" max="10" width="28.140625" style="299" customWidth="1"/>
    <col min="11" max="11" width="39.85546875" style="299" customWidth="1"/>
    <col min="12" max="12" width="42.28515625" style="301" customWidth="1"/>
    <col min="13" max="13" width="22.42578125" style="299" customWidth="1"/>
    <col min="14" max="14" width="49" style="299" customWidth="1"/>
    <col min="15" max="16384" width="9.140625" style="299"/>
  </cols>
  <sheetData>
    <row r="1" spans="1:14">
      <c r="A1" s="302" t="s">
        <v>1232</v>
      </c>
      <c r="B1" s="303" t="s">
        <v>1233</v>
      </c>
      <c r="C1" s="304" t="s">
        <v>1234</v>
      </c>
      <c r="D1" s="304" t="s">
        <v>112</v>
      </c>
      <c r="E1" s="304" t="s">
        <v>690</v>
      </c>
      <c r="F1" s="304" t="s">
        <v>1235</v>
      </c>
      <c r="G1" s="304" t="s">
        <v>1236</v>
      </c>
      <c r="H1" s="304" t="s">
        <v>1237</v>
      </c>
      <c r="I1" s="304" t="s">
        <v>1238</v>
      </c>
      <c r="J1" s="304" t="s">
        <v>1239</v>
      </c>
      <c r="K1" s="304" t="s">
        <v>1240</v>
      </c>
      <c r="L1" s="304" t="s">
        <v>1241</v>
      </c>
      <c r="M1" s="304" t="s">
        <v>1234</v>
      </c>
      <c r="N1" s="304" t="s">
        <v>1242</v>
      </c>
    </row>
    <row r="2" spans="1:14">
      <c r="A2" s="305">
        <v>46023</v>
      </c>
      <c r="B2" s="306" t="s">
        <v>1243</v>
      </c>
      <c r="C2" s="307" t="s">
        <v>1244</v>
      </c>
      <c r="D2" s="301">
        <v>1</v>
      </c>
      <c r="E2" s="301" t="s">
        <v>117</v>
      </c>
      <c r="F2" s="301">
        <v>2</v>
      </c>
      <c r="G2" s="301" t="s">
        <v>1245</v>
      </c>
      <c r="H2" s="301" t="s">
        <v>1246</v>
      </c>
      <c r="I2" s="317">
        <v>46024</v>
      </c>
      <c r="J2" s="318" t="s">
        <v>1247</v>
      </c>
      <c r="K2" s="301" t="s">
        <v>1248</v>
      </c>
      <c r="L2" s="301" t="s">
        <v>1248</v>
      </c>
      <c r="M2" s="307"/>
      <c r="N2" s="301" t="s">
        <v>1249</v>
      </c>
    </row>
    <row r="3" spans="1:14" ht="62.25">
      <c r="A3" s="305">
        <v>46023</v>
      </c>
      <c r="B3" s="308" t="s">
        <v>1250</v>
      </c>
      <c r="C3" s="307" t="s">
        <v>1244</v>
      </c>
      <c r="D3" s="301">
        <v>2</v>
      </c>
      <c r="E3" s="301" t="s">
        <v>266</v>
      </c>
      <c r="F3" s="301">
        <v>11</v>
      </c>
      <c r="G3" s="301" t="s">
        <v>1245</v>
      </c>
      <c r="H3" s="301" t="s">
        <v>602</v>
      </c>
      <c r="I3" s="317">
        <v>46027</v>
      </c>
      <c r="J3" s="319" t="s">
        <v>1247</v>
      </c>
      <c r="K3" s="317" t="s">
        <v>604</v>
      </c>
      <c r="L3" s="301">
        <v>18086</v>
      </c>
      <c r="M3" s="307"/>
      <c r="N3" s="301" t="s">
        <v>1251</v>
      </c>
    </row>
    <row r="4" spans="1:14">
      <c r="A4" s="305">
        <v>46023</v>
      </c>
      <c r="B4" s="306" t="s">
        <v>1252</v>
      </c>
      <c r="C4" s="307" t="s">
        <v>1244</v>
      </c>
      <c r="D4" s="301">
        <v>3</v>
      </c>
      <c r="E4" s="301" t="s">
        <v>161</v>
      </c>
      <c r="F4" s="301">
        <v>43</v>
      </c>
      <c r="G4" s="301" t="s">
        <v>1245</v>
      </c>
      <c r="H4" s="301" t="s">
        <v>1253</v>
      </c>
      <c r="I4" s="317">
        <v>46028</v>
      </c>
      <c r="J4" s="318" t="s">
        <v>1247</v>
      </c>
      <c r="K4" s="301" t="s">
        <v>623</v>
      </c>
      <c r="L4" s="301">
        <v>3602</v>
      </c>
      <c r="M4" s="307"/>
      <c r="N4" s="301" t="s">
        <v>1249</v>
      </c>
    </row>
    <row r="5" spans="1:14">
      <c r="A5" s="305">
        <v>46023</v>
      </c>
      <c r="B5" s="306" t="s">
        <v>1254</v>
      </c>
      <c r="C5" s="307" t="s">
        <v>1244</v>
      </c>
      <c r="D5" s="301">
        <v>4</v>
      </c>
      <c r="E5" s="301" t="s">
        <v>1255</v>
      </c>
      <c r="F5" s="301">
        <v>5</v>
      </c>
      <c r="G5" s="301" t="s">
        <v>1245</v>
      </c>
      <c r="H5" s="301" t="s">
        <v>1256</v>
      </c>
      <c r="I5" s="317">
        <v>46028</v>
      </c>
      <c r="J5" s="318" t="s">
        <v>1247</v>
      </c>
      <c r="K5" s="301" t="s">
        <v>1248</v>
      </c>
      <c r="L5" s="301" t="s">
        <v>1248</v>
      </c>
      <c r="M5" s="320" t="s">
        <v>1244</v>
      </c>
      <c r="N5" s="301" t="s">
        <v>1249</v>
      </c>
    </row>
    <row r="6" spans="1:14" ht="62.25">
      <c r="A6" s="305">
        <v>46023</v>
      </c>
      <c r="B6" s="308" t="s">
        <v>1257</v>
      </c>
      <c r="C6" s="309"/>
      <c r="D6" s="301">
        <v>5</v>
      </c>
      <c r="E6" s="301" t="s">
        <v>1258</v>
      </c>
      <c r="F6" s="301">
        <v>3</v>
      </c>
      <c r="G6" s="301" t="s">
        <v>1245</v>
      </c>
      <c r="H6" s="301" t="s">
        <v>1259</v>
      </c>
      <c r="I6" s="317">
        <v>46029</v>
      </c>
      <c r="J6" s="301" t="s">
        <v>1247</v>
      </c>
      <c r="K6" s="301" t="s">
        <v>645</v>
      </c>
      <c r="L6" s="301" t="s">
        <v>1248</v>
      </c>
      <c r="M6" s="321" t="s">
        <v>1244</v>
      </c>
      <c r="N6" s="301" t="s">
        <v>1251</v>
      </c>
    </row>
    <row r="7" spans="1:14">
      <c r="A7" s="305">
        <v>46023</v>
      </c>
      <c r="B7" s="306" t="s">
        <v>1260</v>
      </c>
      <c r="C7" s="310"/>
      <c r="D7" s="301">
        <v>6</v>
      </c>
      <c r="E7" s="301" t="s">
        <v>1072</v>
      </c>
      <c r="F7" s="301">
        <f>119+40</f>
        <v>159</v>
      </c>
      <c r="G7" s="301" t="s">
        <v>1245</v>
      </c>
      <c r="H7" s="301" t="s">
        <v>1072</v>
      </c>
      <c r="I7" s="317">
        <v>46030</v>
      </c>
      <c r="J7" s="301" t="s">
        <v>1248</v>
      </c>
      <c r="K7" s="301" t="s">
        <v>1261</v>
      </c>
      <c r="L7" s="301" t="s">
        <v>1248</v>
      </c>
      <c r="M7" s="321" t="s">
        <v>1244</v>
      </c>
      <c r="N7" s="301" t="s">
        <v>1249</v>
      </c>
    </row>
    <row r="8" spans="1:14">
      <c r="A8" s="305">
        <v>46023</v>
      </c>
      <c r="B8" s="306" t="s">
        <v>1262</v>
      </c>
      <c r="C8" s="310"/>
      <c r="D8" s="301">
        <v>7</v>
      </c>
      <c r="E8" s="301" t="s">
        <v>762</v>
      </c>
      <c r="F8" s="301">
        <v>945</v>
      </c>
      <c r="G8" s="301" t="s">
        <v>1245</v>
      </c>
      <c r="H8" s="301" t="s">
        <v>1263</v>
      </c>
      <c r="I8" s="317">
        <v>46031</v>
      </c>
      <c r="J8" s="301" t="s">
        <v>1247</v>
      </c>
      <c r="K8" s="301" t="s">
        <v>1264</v>
      </c>
      <c r="L8" s="301">
        <v>65949</v>
      </c>
      <c r="M8" s="301" t="s">
        <v>1248</v>
      </c>
      <c r="N8" s="301" t="s">
        <v>1249</v>
      </c>
    </row>
    <row r="9" spans="1:14">
      <c r="A9" s="305">
        <v>46023</v>
      </c>
      <c r="B9" s="306" t="s">
        <v>1265</v>
      </c>
      <c r="C9" s="310"/>
      <c r="D9" s="301">
        <v>8</v>
      </c>
      <c r="E9" s="301" t="s">
        <v>1255</v>
      </c>
      <c r="F9" s="301">
        <v>6</v>
      </c>
      <c r="G9" s="301" t="s">
        <v>1245</v>
      </c>
      <c r="H9" s="301" t="s">
        <v>1266</v>
      </c>
      <c r="I9" s="317">
        <v>46031</v>
      </c>
      <c r="J9" s="301" t="s">
        <v>1247</v>
      </c>
      <c r="K9" s="301" t="s">
        <v>574</v>
      </c>
      <c r="L9" s="301" t="s">
        <v>1248</v>
      </c>
      <c r="M9" s="301" t="s">
        <v>1248</v>
      </c>
      <c r="N9" s="301" t="s">
        <v>1249</v>
      </c>
    </row>
    <row r="10" spans="1:14" ht="62.25">
      <c r="A10" s="305">
        <v>46023</v>
      </c>
      <c r="B10" s="308" t="s">
        <v>1267</v>
      </c>
      <c r="C10" s="309"/>
      <c r="D10" s="301">
        <v>9</v>
      </c>
      <c r="E10" s="301" t="s">
        <v>1095</v>
      </c>
      <c r="F10" s="301">
        <v>4</v>
      </c>
      <c r="G10" s="301" t="s">
        <v>1245</v>
      </c>
      <c r="H10" s="301" t="s">
        <v>544</v>
      </c>
      <c r="I10" s="317">
        <v>46031</v>
      </c>
      <c r="J10" s="301" t="s">
        <v>1247</v>
      </c>
      <c r="K10" s="301" t="s">
        <v>547</v>
      </c>
      <c r="L10" s="301" t="s">
        <v>1248</v>
      </c>
      <c r="M10" s="301" t="s">
        <v>1248</v>
      </c>
      <c r="N10" s="301" t="s">
        <v>1251</v>
      </c>
    </row>
    <row r="11" spans="1:14">
      <c r="A11" s="305">
        <v>46023</v>
      </c>
      <c r="B11" s="306" t="s">
        <v>1268</v>
      </c>
      <c r="C11" s="310"/>
      <c r="D11" s="301">
        <v>10</v>
      </c>
      <c r="E11" s="301" t="s">
        <v>136</v>
      </c>
      <c r="F11" s="301">
        <v>21</v>
      </c>
      <c r="G11" s="301" t="s">
        <v>1245</v>
      </c>
      <c r="H11" s="301" t="s">
        <v>1263</v>
      </c>
      <c r="I11" s="317">
        <v>46032</v>
      </c>
      <c r="J11" s="301" t="s">
        <v>1247</v>
      </c>
      <c r="K11" s="301" t="s">
        <v>1269</v>
      </c>
      <c r="L11" s="301">
        <v>65950</v>
      </c>
      <c r="M11" s="301" t="s">
        <v>1248</v>
      </c>
      <c r="N11" s="301" t="s">
        <v>1249</v>
      </c>
    </row>
    <row r="12" spans="1:14">
      <c r="A12" s="305">
        <v>46023</v>
      </c>
      <c r="B12" s="306" t="s">
        <v>1270</v>
      </c>
      <c r="C12" s="310"/>
      <c r="D12" s="301">
        <v>11</v>
      </c>
      <c r="E12" s="301" t="s">
        <v>136</v>
      </c>
      <c r="F12" s="301">
        <v>20</v>
      </c>
      <c r="G12" s="301" t="s">
        <v>1245</v>
      </c>
      <c r="H12" s="301" t="s">
        <v>1263</v>
      </c>
      <c r="I12" s="317">
        <v>46032</v>
      </c>
      <c r="J12" s="301" t="s">
        <v>1247</v>
      </c>
      <c r="K12" s="301" t="s">
        <v>1269</v>
      </c>
      <c r="L12" s="301">
        <v>65950</v>
      </c>
      <c r="M12" s="301" t="s">
        <v>1248</v>
      </c>
      <c r="N12" s="301" t="s">
        <v>1249</v>
      </c>
    </row>
    <row r="13" spans="1:14" ht="62.25">
      <c r="A13" s="305">
        <v>46023</v>
      </c>
      <c r="B13" s="308" t="s">
        <v>1271</v>
      </c>
      <c r="C13" s="309"/>
      <c r="D13" s="301">
        <v>12</v>
      </c>
      <c r="E13" s="301" t="s">
        <v>1272</v>
      </c>
      <c r="F13" s="301">
        <v>7</v>
      </c>
      <c r="G13" s="301" t="s">
        <v>1245</v>
      </c>
      <c r="H13" s="301" t="s">
        <v>605</v>
      </c>
      <c r="I13" s="317">
        <v>46032</v>
      </c>
      <c r="J13" s="301"/>
      <c r="K13" s="322" t="s">
        <v>1273</v>
      </c>
      <c r="L13" s="301">
        <v>1868</v>
      </c>
      <c r="M13" s="301" t="s">
        <v>1248</v>
      </c>
      <c r="N13" s="301" t="s">
        <v>1251</v>
      </c>
    </row>
    <row r="14" spans="1:14" ht="62.25">
      <c r="A14" s="305">
        <v>46023</v>
      </c>
      <c r="B14" s="308" t="s">
        <v>1274</v>
      </c>
      <c r="C14" s="309"/>
      <c r="D14" s="301">
        <v>13</v>
      </c>
      <c r="E14" s="301" t="s">
        <v>270</v>
      </c>
      <c r="F14" s="301">
        <v>6</v>
      </c>
      <c r="G14" s="301" t="s">
        <v>1245</v>
      </c>
      <c r="H14" s="301" t="s">
        <v>1275</v>
      </c>
      <c r="I14" s="317">
        <v>46032</v>
      </c>
      <c r="J14" s="301" t="s">
        <v>1248</v>
      </c>
      <c r="K14" s="301" t="s">
        <v>553</v>
      </c>
      <c r="L14" s="301" t="s">
        <v>1248</v>
      </c>
      <c r="M14" s="301" t="s">
        <v>1248</v>
      </c>
      <c r="N14" s="301" t="s">
        <v>1251</v>
      </c>
    </row>
    <row r="15" spans="1:14" ht="62.25">
      <c r="A15" s="305">
        <v>46023</v>
      </c>
      <c r="B15" s="308" t="s">
        <v>1276</v>
      </c>
      <c r="C15" s="309"/>
      <c r="D15" s="301">
        <v>14</v>
      </c>
      <c r="E15" s="301" t="s">
        <v>1277</v>
      </c>
      <c r="F15" s="301">
        <v>1</v>
      </c>
      <c r="G15" s="301" t="s">
        <v>1245</v>
      </c>
      <c r="H15" s="301" t="s">
        <v>1275</v>
      </c>
      <c r="I15" s="317">
        <v>46034</v>
      </c>
      <c r="J15" s="301" t="s">
        <v>1248</v>
      </c>
      <c r="K15" s="301" t="s">
        <v>553</v>
      </c>
      <c r="L15" s="301" t="s">
        <v>1248</v>
      </c>
      <c r="M15" s="301" t="s">
        <v>1248</v>
      </c>
      <c r="N15" s="301" t="s">
        <v>1251</v>
      </c>
    </row>
    <row r="16" spans="1:14" ht="62.25">
      <c r="A16" s="305">
        <v>46023</v>
      </c>
      <c r="B16" s="308" t="s">
        <v>1278</v>
      </c>
      <c r="C16" s="309"/>
      <c r="D16" s="301">
        <v>15</v>
      </c>
      <c r="E16" s="301" t="s">
        <v>1279</v>
      </c>
      <c r="F16" s="301">
        <v>25</v>
      </c>
      <c r="G16" s="301" t="s">
        <v>1245</v>
      </c>
      <c r="H16" s="301" t="s">
        <v>1280</v>
      </c>
      <c r="I16" s="317">
        <v>46038</v>
      </c>
      <c r="J16" s="301" t="s">
        <v>1248</v>
      </c>
      <c r="K16" s="301" t="s">
        <v>1281</v>
      </c>
      <c r="L16" s="301">
        <v>16012026</v>
      </c>
      <c r="M16" s="301" t="s">
        <v>1248</v>
      </c>
      <c r="N16" s="301" t="s">
        <v>1251</v>
      </c>
    </row>
    <row r="17" spans="1:14">
      <c r="A17" s="305">
        <v>46023</v>
      </c>
      <c r="B17" s="306" t="s">
        <v>1282</v>
      </c>
      <c r="C17" s="310"/>
      <c r="D17" s="301">
        <v>16</v>
      </c>
      <c r="E17" s="301" t="s">
        <v>1283</v>
      </c>
      <c r="F17" s="301">
        <v>176</v>
      </c>
      <c r="G17" s="301" t="s">
        <v>1245</v>
      </c>
      <c r="H17" s="301" t="s">
        <v>1284</v>
      </c>
      <c r="I17" s="317">
        <v>46035</v>
      </c>
      <c r="J17" s="301" t="s">
        <v>1247</v>
      </c>
      <c r="K17" s="301" t="s">
        <v>581</v>
      </c>
      <c r="L17" s="301">
        <v>149170</v>
      </c>
      <c r="M17" s="301" t="s">
        <v>1248</v>
      </c>
      <c r="N17" s="301" t="s">
        <v>1249</v>
      </c>
    </row>
    <row r="18" spans="1:14">
      <c r="A18" s="305">
        <v>46023</v>
      </c>
      <c r="B18" s="306" t="s">
        <v>1285</v>
      </c>
      <c r="C18" s="310"/>
      <c r="D18" s="301">
        <v>17</v>
      </c>
      <c r="E18" s="301" t="s">
        <v>478</v>
      </c>
      <c r="F18" s="301">
        <v>5</v>
      </c>
      <c r="G18" s="301" t="s">
        <v>1245</v>
      </c>
      <c r="H18" s="301" t="s">
        <v>1286</v>
      </c>
      <c r="I18" s="317">
        <v>46035</v>
      </c>
      <c r="J18" s="301"/>
      <c r="K18" s="301" t="s">
        <v>1287</v>
      </c>
      <c r="L18" s="301" t="s">
        <v>1248</v>
      </c>
      <c r="M18" s="301" t="s">
        <v>1248</v>
      </c>
      <c r="N18" s="301" t="s">
        <v>1249</v>
      </c>
    </row>
    <row r="19" spans="1:14" ht="62.25">
      <c r="A19" s="305">
        <v>46023</v>
      </c>
      <c r="B19" s="308" t="s">
        <v>1288</v>
      </c>
      <c r="C19" s="309"/>
      <c r="D19" s="301">
        <v>18</v>
      </c>
      <c r="E19" s="301" t="s">
        <v>362</v>
      </c>
      <c r="F19" s="301">
        <v>67</v>
      </c>
      <c r="G19" s="301" t="s">
        <v>1245</v>
      </c>
      <c r="H19" s="301" t="s">
        <v>575</v>
      </c>
      <c r="I19" s="317">
        <v>46038</v>
      </c>
      <c r="J19" s="301" t="s">
        <v>1247</v>
      </c>
      <c r="K19" s="301" t="s">
        <v>1289</v>
      </c>
      <c r="L19" s="301">
        <v>9141</v>
      </c>
      <c r="M19" s="301" t="s">
        <v>1248</v>
      </c>
      <c r="N19" s="301" t="s">
        <v>1251</v>
      </c>
    </row>
    <row r="20" spans="1:14" ht="62.25">
      <c r="A20" s="305">
        <v>46023</v>
      </c>
      <c r="B20" s="308" t="s">
        <v>1290</v>
      </c>
      <c r="C20" s="309"/>
      <c r="D20" s="301">
        <v>19</v>
      </c>
      <c r="E20" s="301" t="s">
        <v>1291</v>
      </c>
      <c r="F20" s="301">
        <v>1</v>
      </c>
      <c r="G20" s="301" t="s">
        <v>1245</v>
      </c>
      <c r="H20" s="301" t="s">
        <v>1275</v>
      </c>
      <c r="I20" s="317">
        <v>46038</v>
      </c>
      <c r="J20" s="301" t="s">
        <v>1248</v>
      </c>
      <c r="K20" s="301" t="s">
        <v>553</v>
      </c>
      <c r="L20" s="301" t="s">
        <v>1248</v>
      </c>
      <c r="M20" s="301" t="s">
        <v>1248</v>
      </c>
      <c r="N20" s="301" t="s">
        <v>1251</v>
      </c>
    </row>
    <row r="21" spans="1:14">
      <c r="A21" s="305">
        <v>46023</v>
      </c>
      <c r="B21" s="306" t="s">
        <v>1292</v>
      </c>
      <c r="C21" s="310"/>
      <c r="D21" s="301">
        <v>20</v>
      </c>
      <c r="E21" s="301" t="s">
        <v>478</v>
      </c>
      <c r="F21" s="301">
        <v>5</v>
      </c>
      <c r="G21" s="311" t="s">
        <v>1293</v>
      </c>
      <c r="H21" s="301" t="s">
        <v>1294</v>
      </c>
      <c r="I21" s="317">
        <v>46038</v>
      </c>
      <c r="J21" s="301" t="s">
        <v>1248</v>
      </c>
      <c r="K21" s="301" t="s">
        <v>1295</v>
      </c>
      <c r="L21" s="301" t="s">
        <v>1248</v>
      </c>
      <c r="M21" s="301" t="s">
        <v>1248</v>
      </c>
      <c r="N21" s="301" t="s">
        <v>1249</v>
      </c>
    </row>
    <row r="22" spans="1:14" ht="62.25">
      <c r="A22" s="305">
        <v>46023</v>
      </c>
      <c r="B22" s="308" t="s">
        <v>1296</v>
      </c>
      <c r="C22" s="309"/>
      <c r="D22" s="301">
        <v>21</v>
      </c>
      <c r="E22" s="301" t="s">
        <v>246</v>
      </c>
      <c r="F22" s="301">
        <v>2</v>
      </c>
      <c r="G22" s="301" t="s">
        <v>1245</v>
      </c>
      <c r="H22" s="301" t="s">
        <v>1275</v>
      </c>
      <c r="I22" s="317">
        <v>46041</v>
      </c>
      <c r="J22" s="301" t="s">
        <v>1248</v>
      </c>
      <c r="K22" s="301" t="s">
        <v>553</v>
      </c>
      <c r="L22" s="301" t="s">
        <v>1248</v>
      </c>
      <c r="M22" s="301" t="s">
        <v>1248</v>
      </c>
      <c r="N22" s="301" t="s">
        <v>1251</v>
      </c>
    </row>
    <row r="23" spans="1:14" ht="62.25">
      <c r="A23" s="305">
        <v>46023</v>
      </c>
      <c r="B23" s="308" t="s">
        <v>1297</v>
      </c>
      <c r="C23" s="309"/>
      <c r="D23" s="301">
        <v>22</v>
      </c>
      <c r="E23" s="301" t="s">
        <v>1277</v>
      </c>
      <c r="F23" s="301">
        <v>1</v>
      </c>
      <c r="G23" s="301" t="s">
        <v>1245</v>
      </c>
      <c r="H23" s="301" t="s">
        <v>1275</v>
      </c>
      <c r="I23" s="317">
        <v>46041</v>
      </c>
      <c r="J23" s="301" t="s">
        <v>1248</v>
      </c>
      <c r="K23" s="301" t="s">
        <v>553</v>
      </c>
      <c r="L23" s="301" t="s">
        <v>1248</v>
      </c>
      <c r="M23" s="301" t="s">
        <v>1248</v>
      </c>
      <c r="N23" s="301" t="s">
        <v>1251</v>
      </c>
    </row>
    <row r="24" spans="1:14" ht="62.25">
      <c r="A24" s="305">
        <v>46023</v>
      </c>
      <c r="B24" s="308" t="s">
        <v>1298</v>
      </c>
      <c r="C24" s="309"/>
      <c r="D24" s="301">
        <v>23</v>
      </c>
      <c r="E24" s="301" t="s">
        <v>877</v>
      </c>
      <c r="F24" s="301">
        <v>2</v>
      </c>
      <c r="G24" s="301" t="s">
        <v>1245</v>
      </c>
      <c r="H24" s="301" t="s">
        <v>1275</v>
      </c>
      <c r="I24" s="317">
        <v>46042</v>
      </c>
      <c r="J24" s="301" t="s">
        <v>1248</v>
      </c>
      <c r="K24" s="301" t="s">
        <v>553</v>
      </c>
      <c r="L24" s="301" t="s">
        <v>1248</v>
      </c>
      <c r="M24" s="301" t="s">
        <v>1248</v>
      </c>
      <c r="N24" s="301" t="s">
        <v>1251</v>
      </c>
    </row>
    <row r="25" spans="1:14">
      <c r="A25" s="305">
        <v>46023</v>
      </c>
      <c r="B25" s="306" t="s">
        <v>1299</v>
      </c>
      <c r="C25" s="310"/>
      <c r="D25" s="301">
        <v>24</v>
      </c>
      <c r="E25" s="301" t="s">
        <v>1300</v>
      </c>
      <c r="F25" s="301">
        <v>12</v>
      </c>
      <c r="G25" s="301" t="s">
        <v>1245</v>
      </c>
      <c r="H25" s="301" t="s">
        <v>1301</v>
      </c>
      <c r="I25" s="317">
        <v>46042</v>
      </c>
      <c r="J25" s="301" t="s">
        <v>1247</v>
      </c>
      <c r="K25" s="301" t="s">
        <v>559</v>
      </c>
      <c r="L25" s="301" t="s">
        <v>1248</v>
      </c>
      <c r="M25" s="301" t="s">
        <v>1248</v>
      </c>
      <c r="N25" s="301" t="s">
        <v>1249</v>
      </c>
    </row>
    <row r="26" spans="1:14">
      <c r="A26" s="305">
        <v>46023</v>
      </c>
      <c r="B26" s="306" t="s">
        <v>1302</v>
      </c>
      <c r="C26" s="310"/>
      <c r="D26" s="301">
        <v>25</v>
      </c>
      <c r="E26" s="301" t="s">
        <v>141</v>
      </c>
      <c r="F26" s="301">
        <v>12</v>
      </c>
      <c r="G26" s="301" t="s">
        <v>1245</v>
      </c>
      <c r="H26" s="301" t="s">
        <v>1301</v>
      </c>
      <c r="I26" s="317">
        <v>46043</v>
      </c>
      <c r="J26" s="301" t="s">
        <v>1247</v>
      </c>
      <c r="K26" s="301" t="s">
        <v>559</v>
      </c>
      <c r="L26" s="301" t="s">
        <v>1248</v>
      </c>
      <c r="M26" s="301" t="s">
        <v>1248</v>
      </c>
      <c r="N26" s="301" t="s">
        <v>1249</v>
      </c>
    </row>
    <row r="27" spans="1:14" ht="62.25">
      <c r="A27" s="305">
        <v>46023</v>
      </c>
      <c r="B27" s="308" t="s">
        <v>1303</v>
      </c>
      <c r="C27" s="309"/>
      <c r="D27" s="301">
        <v>26</v>
      </c>
      <c r="E27" s="301" t="s">
        <v>1304</v>
      </c>
      <c r="F27" s="301">
        <v>3</v>
      </c>
      <c r="G27" s="311" t="s">
        <v>1293</v>
      </c>
      <c r="H27" s="301" t="s">
        <v>589</v>
      </c>
      <c r="I27" s="317">
        <v>46044</v>
      </c>
      <c r="J27" s="301" t="s">
        <v>1247</v>
      </c>
      <c r="K27" s="301" t="s">
        <v>591</v>
      </c>
      <c r="L27" s="301" t="s">
        <v>592</v>
      </c>
      <c r="M27" s="301" t="s">
        <v>1248</v>
      </c>
      <c r="N27" s="301" t="s">
        <v>1251</v>
      </c>
    </row>
    <row r="28" spans="1:14" ht="62.25">
      <c r="A28" s="305">
        <v>46023</v>
      </c>
      <c r="B28" s="308" t="s">
        <v>1305</v>
      </c>
      <c r="C28" s="309"/>
      <c r="D28" s="301">
        <v>27</v>
      </c>
      <c r="E28" s="301" t="s">
        <v>315</v>
      </c>
      <c r="F28" s="301">
        <v>14</v>
      </c>
      <c r="G28" s="301" t="s">
        <v>1245</v>
      </c>
      <c r="H28" s="301" t="s">
        <v>575</v>
      </c>
      <c r="I28" s="317">
        <v>46044</v>
      </c>
      <c r="J28" s="301" t="s">
        <v>1247</v>
      </c>
      <c r="K28" s="301" t="s">
        <v>1306</v>
      </c>
      <c r="L28" s="301">
        <v>9163</v>
      </c>
      <c r="M28" s="301" t="s">
        <v>1248</v>
      </c>
      <c r="N28" s="301" t="s">
        <v>1251</v>
      </c>
    </row>
    <row r="29" spans="1:14" ht="62.25">
      <c r="A29" s="305">
        <v>46023</v>
      </c>
      <c r="B29" s="308" t="s">
        <v>1307</v>
      </c>
      <c r="C29" s="309"/>
      <c r="D29" s="301">
        <v>28</v>
      </c>
      <c r="E29" s="301" t="s">
        <v>497</v>
      </c>
      <c r="F29" s="301">
        <v>5</v>
      </c>
      <c r="G29" s="301" t="s">
        <v>1245</v>
      </c>
      <c r="H29" s="301" t="s">
        <v>1275</v>
      </c>
      <c r="I29" s="317">
        <v>46045</v>
      </c>
      <c r="J29" s="301" t="s">
        <v>1248</v>
      </c>
      <c r="K29" s="301" t="s">
        <v>1248</v>
      </c>
      <c r="L29" s="301" t="s">
        <v>1248</v>
      </c>
      <c r="M29" s="301" t="s">
        <v>1248</v>
      </c>
      <c r="N29" s="301" t="s">
        <v>1251</v>
      </c>
    </row>
    <row r="30" spans="1:14" ht="62.25">
      <c r="A30" s="305">
        <v>46023</v>
      </c>
      <c r="B30" s="308" t="s">
        <v>1308</v>
      </c>
      <c r="C30" s="309"/>
      <c r="D30" s="301">
        <v>29</v>
      </c>
      <c r="E30" s="301" t="s">
        <v>497</v>
      </c>
      <c r="F30" s="301">
        <v>5</v>
      </c>
      <c r="G30" s="301" t="s">
        <v>1245</v>
      </c>
      <c r="H30" s="301" t="s">
        <v>1275</v>
      </c>
      <c r="I30" s="317">
        <v>46045</v>
      </c>
      <c r="J30" s="301" t="s">
        <v>1248</v>
      </c>
      <c r="K30" s="301" t="s">
        <v>1248</v>
      </c>
      <c r="L30" s="301" t="s">
        <v>1248</v>
      </c>
      <c r="M30" s="301" t="s">
        <v>1248</v>
      </c>
      <c r="N30" s="301" t="s">
        <v>1251</v>
      </c>
    </row>
    <row r="31" spans="1:14">
      <c r="A31" s="305">
        <v>46023</v>
      </c>
      <c r="B31" s="306" t="s">
        <v>1309</v>
      </c>
      <c r="C31" s="310"/>
      <c r="D31" s="301">
        <v>30</v>
      </c>
      <c r="E31" s="301" t="s">
        <v>1310</v>
      </c>
      <c r="F31" s="301">
        <v>1</v>
      </c>
      <c r="G31" s="301" t="s">
        <v>1245</v>
      </c>
      <c r="H31" s="301" t="s">
        <v>1301</v>
      </c>
      <c r="I31" s="317">
        <v>46045</v>
      </c>
      <c r="J31" s="301" t="s">
        <v>1247</v>
      </c>
      <c r="K31" s="301" t="s">
        <v>1248</v>
      </c>
      <c r="L31" s="301" t="s">
        <v>1248</v>
      </c>
      <c r="M31" s="301" t="s">
        <v>1248</v>
      </c>
      <c r="N31" s="301" t="s">
        <v>1249</v>
      </c>
    </row>
    <row r="32" spans="1:14" ht="62.25">
      <c r="A32" s="305">
        <v>46023</v>
      </c>
      <c r="B32" s="308" t="s">
        <v>1311</v>
      </c>
      <c r="C32" s="309"/>
      <c r="D32" s="301">
        <v>31</v>
      </c>
      <c r="E32" s="301" t="s">
        <v>1312</v>
      </c>
      <c r="F32" s="301">
        <v>2</v>
      </c>
      <c r="G32" s="301" t="s">
        <v>1245</v>
      </c>
      <c r="H32" s="301" t="s">
        <v>1313</v>
      </c>
      <c r="I32" s="317">
        <v>46046</v>
      </c>
      <c r="J32" s="301" t="s">
        <v>1247</v>
      </c>
      <c r="K32" s="301" t="s">
        <v>1314</v>
      </c>
      <c r="L32" s="301" t="s">
        <v>1315</v>
      </c>
      <c r="M32" s="301" t="s">
        <v>1248</v>
      </c>
      <c r="N32" s="301" t="s">
        <v>1251</v>
      </c>
    </row>
    <row r="33" spans="1:14" ht="62.25">
      <c r="A33" s="305">
        <v>46023</v>
      </c>
      <c r="B33" s="308" t="s">
        <v>1316</v>
      </c>
      <c r="C33" s="309"/>
      <c r="D33" s="301">
        <v>32</v>
      </c>
      <c r="E33" s="301" t="s">
        <v>391</v>
      </c>
      <c r="F33" s="301">
        <v>9</v>
      </c>
      <c r="G33" s="301" t="s">
        <v>1245</v>
      </c>
      <c r="H33" s="301" t="s">
        <v>575</v>
      </c>
      <c r="I33" s="317">
        <v>46046</v>
      </c>
      <c r="J33" s="323" t="s">
        <v>1317</v>
      </c>
      <c r="K33" s="301" t="s">
        <v>1318</v>
      </c>
      <c r="L33" s="301">
        <v>9167</v>
      </c>
      <c r="M33" s="321" t="s">
        <v>1248</v>
      </c>
      <c r="N33" s="301" t="s">
        <v>1251</v>
      </c>
    </row>
    <row r="34" spans="1:14">
      <c r="A34" s="305">
        <v>46023</v>
      </c>
      <c r="B34" s="306" t="s">
        <v>1319</v>
      </c>
      <c r="C34" s="309"/>
      <c r="D34" s="301"/>
      <c r="E34" s="301" t="s">
        <v>166</v>
      </c>
      <c r="F34" s="301">
        <v>1</v>
      </c>
      <c r="G34" s="301" t="s">
        <v>1245</v>
      </c>
      <c r="H34" s="301" t="s">
        <v>1301</v>
      </c>
      <c r="I34" s="317">
        <v>46051</v>
      </c>
      <c r="J34" s="301" t="s">
        <v>1247</v>
      </c>
      <c r="K34" s="301" t="s">
        <v>1248</v>
      </c>
      <c r="L34" s="301" t="s">
        <v>1248</v>
      </c>
      <c r="M34" s="321"/>
      <c r="N34" s="301" t="s">
        <v>1249</v>
      </c>
    </row>
    <row r="35" spans="1:14">
      <c r="A35" s="312">
        <v>46023</v>
      </c>
      <c r="B35" s="313" t="s">
        <v>1320</v>
      </c>
      <c r="C35" s="314"/>
      <c r="D35" s="315"/>
      <c r="E35" s="315" t="s">
        <v>1321</v>
      </c>
      <c r="F35" s="315">
        <v>2</v>
      </c>
      <c r="G35" s="301" t="s">
        <v>1245</v>
      </c>
      <c r="H35" s="315" t="s">
        <v>1322</v>
      </c>
      <c r="I35" s="324">
        <v>46052</v>
      </c>
      <c r="J35" s="315" t="s">
        <v>1247</v>
      </c>
      <c r="K35" s="315" t="s">
        <v>1248</v>
      </c>
      <c r="L35" s="315" t="s">
        <v>1248</v>
      </c>
      <c r="M35" s="315"/>
      <c r="N35" s="315" t="s">
        <v>1249</v>
      </c>
    </row>
    <row r="36" spans="1:14" ht="62.25">
      <c r="A36" s="312">
        <v>46023</v>
      </c>
      <c r="B36" s="308" t="s">
        <v>1323</v>
      </c>
      <c r="C36" s="314"/>
      <c r="D36" s="315"/>
      <c r="E36" s="315" t="s">
        <v>270</v>
      </c>
      <c r="F36" s="315">
        <v>2</v>
      </c>
      <c r="G36" s="301" t="s">
        <v>1245</v>
      </c>
      <c r="H36" s="315" t="s">
        <v>1324</v>
      </c>
      <c r="I36" s="324">
        <v>46053</v>
      </c>
      <c r="J36" s="301" t="s">
        <v>1248</v>
      </c>
      <c r="K36" s="315" t="s">
        <v>553</v>
      </c>
      <c r="L36" s="315" t="s">
        <v>1248</v>
      </c>
      <c r="M36" s="315"/>
      <c r="N36" s="315" t="s">
        <v>1251</v>
      </c>
    </row>
    <row r="37" spans="1:14">
      <c r="A37" s="305">
        <v>46054</v>
      </c>
      <c r="B37" s="313" t="s">
        <v>1325</v>
      </c>
      <c r="C37" s="301"/>
      <c r="D37" s="301"/>
      <c r="E37" s="301" t="s">
        <v>221</v>
      </c>
      <c r="F37" s="301">
        <v>70</v>
      </c>
      <c r="G37" s="301" t="s">
        <v>1245</v>
      </c>
      <c r="H37" s="301" t="s">
        <v>1284</v>
      </c>
      <c r="I37" s="317">
        <v>46055</v>
      </c>
      <c r="J37" s="301" t="s">
        <v>1247</v>
      </c>
      <c r="K37" s="301" t="s">
        <v>1326</v>
      </c>
      <c r="L37" s="301">
        <v>149181</v>
      </c>
      <c r="M37" s="301"/>
      <c r="N37" s="315" t="s">
        <v>1249</v>
      </c>
    </row>
    <row r="38" spans="1:14">
      <c r="A38" s="305">
        <v>46054</v>
      </c>
      <c r="B38" s="313" t="s">
        <v>1327</v>
      </c>
      <c r="C38" s="301"/>
      <c r="D38" s="301"/>
      <c r="E38" s="301" t="s">
        <v>221</v>
      </c>
      <c r="F38" s="301">
        <v>29</v>
      </c>
      <c r="G38" s="301" t="s">
        <v>1245</v>
      </c>
      <c r="H38" s="301" t="s">
        <v>1284</v>
      </c>
      <c r="I38" s="317">
        <v>46055</v>
      </c>
      <c r="J38" s="301" t="s">
        <v>1247</v>
      </c>
      <c r="K38" s="301" t="s">
        <v>1326</v>
      </c>
      <c r="L38" s="301">
        <v>149181</v>
      </c>
      <c r="M38" s="301"/>
      <c r="N38" s="315" t="s">
        <v>1249</v>
      </c>
    </row>
    <row r="39" spans="1:14">
      <c r="A39" s="305">
        <v>46054</v>
      </c>
      <c r="B39" s="313" t="s">
        <v>1328</v>
      </c>
      <c r="C39" s="316"/>
      <c r="D39" s="301"/>
      <c r="E39" s="301" t="s">
        <v>1329</v>
      </c>
      <c r="F39" s="301">
        <v>69</v>
      </c>
      <c r="G39" s="301" t="s">
        <v>1245</v>
      </c>
      <c r="H39" s="301" t="s">
        <v>1330</v>
      </c>
      <c r="I39" s="317">
        <v>46056</v>
      </c>
      <c r="J39" s="301" t="s">
        <v>1247</v>
      </c>
      <c r="K39" s="301" t="s">
        <v>1331</v>
      </c>
      <c r="L39" s="301" t="s">
        <v>1332</v>
      </c>
      <c r="M39" s="301"/>
      <c r="N39" s="315" t="s">
        <v>1249</v>
      </c>
    </row>
    <row r="40" spans="1:14" ht="62.25">
      <c r="A40" s="305">
        <v>46054</v>
      </c>
      <c r="B40" s="308" t="s">
        <v>1333</v>
      </c>
      <c r="C40" s="301"/>
      <c r="D40" s="301"/>
      <c r="E40" s="315" t="s">
        <v>270</v>
      </c>
      <c r="F40" s="301">
        <v>1</v>
      </c>
      <c r="G40" s="301" t="s">
        <v>1245</v>
      </c>
      <c r="H40" s="301" t="s">
        <v>1334</v>
      </c>
      <c r="I40" s="317">
        <v>46057</v>
      </c>
      <c r="J40" s="301" t="s">
        <v>1248</v>
      </c>
      <c r="K40" s="301" t="s">
        <v>553</v>
      </c>
      <c r="L40" s="301" t="s">
        <v>1248</v>
      </c>
      <c r="M40" s="301"/>
      <c r="N40" s="315" t="s">
        <v>1251</v>
      </c>
    </row>
    <row r="41" spans="1:14">
      <c r="A41" s="305">
        <v>46054</v>
      </c>
      <c r="B41" s="313" t="s">
        <v>1335</v>
      </c>
      <c r="C41" s="301"/>
      <c r="D41" s="301"/>
      <c r="E41" s="301" t="s">
        <v>1255</v>
      </c>
      <c r="F41" s="301">
        <v>1</v>
      </c>
      <c r="G41" s="301" t="s">
        <v>1245</v>
      </c>
      <c r="H41" s="301" t="s">
        <v>1301</v>
      </c>
      <c r="I41" s="317">
        <v>46059</v>
      </c>
      <c r="J41" s="301" t="s">
        <v>1248</v>
      </c>
      <c r="K41" s="301" t="s">
        <v>1248</v>
      </c>
      <c r="L41" s="301" t="s">
        <v>1248</v>
      </c>
      <c r="M41" s="301"/>
      <c r="N41" s="315" t="s">
        <v>1249</v>
      </c>
    </row>
    <row r="42" spans="1:14" ht="62.25">
      <c r="A42" s="305">
        <v>46054</v>
      </c>
      <c r="B42" s="308" t="s">
        <v>1336</v>
      </c>
      <c r="C42" s="301"/>
      <c r="D42" s="301"/>
      <c r="E42" s="301" t="s">
        <v>1095</v>
      </c>
      <c r="F42" s="301">
        <v>5</v>
      </c>
      <c r="G42" s="301" t="s">
        <v>1245</v>
      </c>
      <c r="H42" s="301" t="s">
        <v>1337</v>
      </c>
      <c r="I42" s="317">
        <v>46059</v>
      </c>
      <c r="J42" s="323" t="s">
        <v>1248</v>
      </c>
      <c r="K42" s="301" t="s">
        <v>547</v>
      </c>
      <c r="L42" s="301" t="s">
        <v>1248</v>
      </c>
      <c r="M42" s="301"/>
      <c r="N42" s="315" t="s">
        <v>1251</v>
      </c>
    </row>
    <row r="43" spans="1:14" ht="62.25">
      <c r="A43" s="305">
        <v>46054</v>
      </c>
      <c r="B43" s="308" t="s">
        <v>1338</v>
      </c>
      <c r="C43" s="301"/>
      <c r="D43" s="301"/>
      <c r="E43" s="301" t="s">
        <v>437</v>
      </c>
      <c r="F43" s="301">
        <v>46</v>
      </c>
      <c r="G43" s="301" t="s">
        <v>1245</v>
      </c>
      <c r="H43" s="301" t="s">
        <v>575</v>
      </c>
      <c r="I43" s="317">
        <v>46059</v>
      </c>
      <c r="J43" s="323" t="s">
        <v>1248</v>
      </c>
      <c r="K43" s="301" t="s">
        <v>1339</v>
      </c>
      <c r="L43" s="301">
        <v>9204</v>
      </c>
      <c r="M43" s="301"/>
      <c r="N43" s="315" t="s">
        <v>1251</v>
      </c>
    </row>
    <row r="44" spans="1:14">
      <c r="A44" s="305">
        <v>46054</v>
      </c>
      <c r="B44" s="313" t="s">
        <v>1340</v>
      </c>
      <c r="C44" s="301"/>
      <c r="D44" s="301"/>
      <c r="E44" s="301" t="s">
        <v>746</v>
      </c>
      <c r="F44" s="301">
        <f>21+275</f>
        <v>296</v>
      </c>
      <c r="G44" s="301" t="s">
        <v>1245</v>
      </c>
      <c r="H44" s="301" t="s">
        <v>561</v>
      </c>
      <c r="I44" s="317">
        <v>46059</v>
      </c>
      <c r="J44" s="301" t="s">
        <v>1247</v>
      </c>
      <c r="K44" s="301" t="s">
        <v>1264</v>
      </c>
      <c r="L44" s="301">
        <v>66388</v>
      </c>
      <c r="M44" s="301"/>
      <c r="N44" s="315" t="s">
        <v>1249</v>
      </c>
    </row>
    <row r="45" spans="1:14">
      <c r="A45" s="305">
        <v>46054</v>
      </c>
      <c r="B45" s="313" t="s">
        <v>1341</v>
      </c>
      <c r="C45" s="301"/>
      <c r="D45" s="301"/>
      <c r="E45" s="301" t="s">
        <v>746</v>
      </c>
      <c r="F45" s="301">
        <v>9</v>
      </c>
      <c r="G45" s="301" t="s">
        <v>1245</v>
      </c>
      <c r="H45" s="301" t="s">
        <v>561</v>
      </c>
      <c r="I45" s="317">
        <v>46059</v>
      </c>
      <c r="J45" s="301" t="s">
        <v>1247</v>
      </c>
      <c r="K45" s="301" t="s">
        <v>1264</v>
      </c>
      <c r="L45" s="301">
        <v>66388</v>
      </c>
      <c r="M45" s="301"/>
      <c r="N45" s="315" t="s">
        <v>1249</v>
      </c>
    </row>
    <row r="46" spans="1:14">
      <c r="A46" s="305">
        <v>46054</v>
      </c>
      <c r="B46" s="313" t="s">
        <v>1342</v>
      </c>
      <c r="C46" s="301"/>
      <c r="D46" s="301"/>
      <c r="E46" s="301" t="s">
        <v>141</v>
      </c>
      <c r="F46" s="301">
        <v>5</v>
      </c>
      <c r="G46" s="301" t="s">
        <v>1245</v>
      </c>
      <c r="H46" s="301" t="s">
        <v>1301</v>
      </c>
      <c r="I46" s="317">
        <v>46064</v>
      </c>
      <c r="J46" s="301" t="s">
        <v>1247</v>
      </c>
      <c r="K46" s="301" t="s">
        <v>559</v>
      </c>
      <c r="L46" s="301" t="s">
        <v>1248</v>
      </c>
      <c r="M46" s="301"/>
      <c r="N46" s="315" t="s">
        <v>1249</v>
      </c>
    </row>
    <row r="47" spans="1:14">
      <c r="A47" s="305">
        <v>46054</v>
      </c>
      <c r="B47" s="313" t="s">
        <v>1343</v>
      </c>
      <c r="C47" s="316"/>
      <c r="D47" s="301"/>
      <c r="E47" s="301" t="s">
        <v>516</v>
      </c>
      <c r="F47" s="301">
        <v>1</v>
      </c>
      <c r="G47" s="301" t="s">
        <v>1245</v>
      </c>
      <c r="H47" s="301" t="s">
        <v>1301</v>
      </c>
      <c r="I47" s="317">
        <v>46065</v>
      </c>
      <c r="J47" s="301" t="s">
        <v>1247</v>
      </c>
      <c r="K47" s="301" t="s">
        <v>559</v>
      </c>
      <c r="L47" s="301" t="s">
        <v>1248</v>
      </c>
      <c r="M47" s="301"/>
      <c r="N47" s="315" t="s">
        <v>1249</v>
      </c>
    </row>
    <row r="48" spans="1:14">
      <c r="A48" s="305">
        <v>46054</v>
      </c>
      <c r="B48" s="313" t="s">
        <v>1344</v>
      </c>
      <c r="C48" s="301"/>
      <c r="D48" s="301"/>
      <c r="E48" s="301" t="s">
        <v>141</v>
      </c>
      <c r="F48" s="301">
        <v>3</v>
      </c>
      <c r="G48" s="301" t="s">
        <v>1245</v>
      </c>
      <c r="H48" s="301" t="s">
        <v>1301</v>
      </c>
      <c r="I48" s="317">
        <v>46065</v>
      </c>
      <c r="J48" s="301" t="s">
        <v>1247</v>
      </c>
      <c r="K48" s="301" t="s">
        <v>559</v>
      </c>
      <c r="L48" s="301" t="s">
        <v>1248</v>
      </c>
      <c r="M48" s="301"/>
      <c r="N48" s="315" t="s">
        <v>1249</v>
      </c>
    </row>
    <row r="49" spans="1:14" ht="62.25">
      <c r="A49" s="305">
        <v>46054</v>
      </c>
      <c r="B49" s="308" t="s">
        <v>1345</v>
      </c>
      <c r="C49" s="301"/>
      <c r="D49" s="301"/>
      <c r="E49" s="301" t="s">
        <v>1346</v>
      </c>
      <c r="F49" s="301">
        <v>1</v>
      </c>
      <c r="G49" s="301" t="s">
        <v>1245</v>
      </c>
      <c r="H49" s="301" t="s">
        <v>1337</v>
      </c>
      <c r="I49" s="317">
        <v>46065</v>
      </c>
      <c r="J49" s="301" t="s">
        <v>1248</v>
      </c>
      <c r="K49" s="301" t="s">
        <v>547</v>
      </c>
      <c r="L49" s="301" t="s">
        <v>1248</v>
      </c>
      <c r="M49" s="301"/>
      <c r="N49" s="315" t="s">
        <v>1251</v>
      </c>
    </row>
    <row r="50" spans="1:14">
      <c r="A50" s="305">
        <v>46054</v>
      </c>
      <c r="B50" s="313" t="s">
        <v>1347</v>
      </c>
      <c r="C50" s="316"/>
      <c r="D50" s="301"/>
      <c r="E50" s="301" t="s">
        <v>1348</v>
      </c>
      <c r="F50" s="301">
        <f>173+22</f>
        <v>195</v>
      </c>
      <c r="G50" s="301" t="s">
        <v>1245</v>
      </c>
      <c r="H50" s="301" t="s">
        <v>1284</v>
      </c>
      <c r="I50" s="317">
        <v>46066</v>
      </c>
      <c r="J50" s="301" t="s">
        <v>1247</v>
      </c>
      <c r="K50" s="301" t="s">
        <v>1349</v>
      </c>
      <c r="L50" s="301">
        <v>149285</v>
      </c>
      <c r="M50" s="301"/>
      <c r="N50" s="315" t="s">
        <v>1249</v>
      </c>
    </row>
    <row r="51" spans="1:14">
      <c r="A51" s="305">
        <v>46054</v>
      </c>
      <c r="B51" s="313" t="s">
        <v>1350</v>
      </c>
      <c r="C51" s="316"/>
      <c r="D51" s="301"/>
      <c r="E51" s="301" t="s">
        <v>516</v>
      </c>
      <c r="F51" s="301">
        <v>2</v>
      </c>
      <c r="G51" s="301" t="s">
        <v>1245</v>
      </c>
      <c r="H51" s="301" t="s">
        <v>1351</v>
      </c>
      <c r="I51" s="317">
        <v>46069</v>
      </c>
      <c r="J51" s="301" t="s">
        <v>1248</v>
      </c>
      <c r="K51" s="301" t="s">
        <v>1248</v>
      </c>
      <c r="L51" s="301" t="s">
        <v>1248</v>
      </c>
      <c r="M51" s="301"/>
      <c r="N51" s="315" t="s">
        <v>1249</v>
      </c>
    </row>
    <row r="52" spans="1:14">
      <c r="A52" s="305">
        <v>46054</v>
      </c>
      <c r="B52" s="313" t="s">
        <v>1352</v>
      </c>
      <c r="C52" s="301"/>
      <c r="D52" s="301"/>
      <c r="E52" s="301" t="s">
        <v>762</v>
      </c>
      <c r="F52" s="301">
        <v>942</v>
      </c>
      <c r="G52" s="301" t="s">
        <v>1245</v>
      </c>
      <c r="H52" s="301" t="s">
        <v>1263</v>
      </c>
      <c r="I52" s="317">
        <v>46070</v>
      </c>
      <c r="J52" s="301" t="s">
        <v>1247</v>
      </c>
      <c r="K52" s="301" t="s">
        <v>1353</v>
      </c>
      <c r="L52" s="301">
        <v>66566</v>
      </c>
      <c r="M52" s="301"/>
      <c r="N52" s="315" t="s">
        <v>1249</v>
      </c>
    </row>
    <row r="53" spans="1:14">
      <c r="A53" s="305">
        <v>46054</v>
      </c>
      <c r="B53" s="313" t="s">
        <v>1354</v>
      </c>
      <c r="C53" s="301"/>
      <c r="D53" s="301"/>
      <c r="E53" s="301" t="s">
        <v>1355</v>
      </c>
      <c r="F53" s="301">
        <v>20</v>
      </c>
      <c r="G53" s="301" t="s">
        <v>1245</v>
      </c>
      <c r="H53" s="301" t="s">
        <v>1356</v>
      </c>
      <c r="I53" s="317">
        <v>46071</v>
      </c>
      <c r="J53" s="301" t="s">
        <v>1247</v>
      </c>
      <c r="K53" s="301" t="s">
        <v>571</v>
      </c>
      <c r="L53" s="301">
        <v>51943345274</v>
      </c>
      <c r="M53" s="301"/>
      <c r="N53" s="315" t="s">
        <v>1249</v>
      </c>
    </row>
    <row r="54" spans="1:14">
      <c r="A54" s="305">
        <v>46054</v>
      </c>
      <c r="B54" s="313" t="s">
        <v>1357</v>
      </c>
      <c r="C54" s="301"/>
      <c r="D54" s="301"/>
      <c r="E54" s="301" t="s">
        <v>762</v>
      </c>
      <c r="F54" s="301">
        <v>176</v>
      </c>
      <c r="G54" s="301" t="s">
        <v>1245</v>
      </c>
      <c r="H54" s="301" t="s">
        <v>1263</v>
      </c>
      <c r="I54" s="317">
        <v>46071</v>
      </c>
      <c r="J54" s="301" t="s">
        <v>1247</v>
      </c>
      <c r="K54" s="301" t="s">
        <v>1358</v>
      </c>
      <c r="L54" s="301">
        <v>66588</v>
      </c>
      <c r="M54" s="301"/>
      <c r="N54" s="315" t="s">
        <v>1249</v>
      </c>
    </row>
    <row r="55" spans="1:14" ht="62.25">
      <c r="A55" s="305">
        <v>46054</v>
      </c>
      <c r="B55" s="308" t="s">
        <v>1359</v>
      </c>
      <c r="C55" s="301"/>
      <c r="D55" s="301"/>
      <c r="E55" s="301" t="s">
        <v>366</v>
      </c>
      <c r="F55" s="301">
        <v>1</v>
      </c>
      <c r="G55" s="301" t="s">
        <v>1245</v>
      </c>
      <c r="H55" s="301" t="s">
        <v>575</v>
      </c>
      <c r="I55" s="317">
        <v>46066</v>
      </c>
      <c r="J55" s="301" t="s">
        <v>1248</v>
      </c>
      <c r="K55" s="301" t="s">
        <v>1248</v>
      </c>
      <c r="L55" s="301" t="s">
        <v>1248</v>
      </c>
      <c r="M55" s="301"/>
      <c r="N55" s="315" t="s">
        <v>1251</v>
      </c>
    </row>
    <row r="56" spans="1:14">
      <c r="A56" s="305">
        <v>46054</v>
      </c>
      <c r="B56" s="313" t="s">
        <v>1360</v>
      </c>
      <c r="C56" s="301"/>
      <c r="D56" s="301"/>
      <c r="E56" s="301" t="s">
        <v>1321</v>
      </c>
      <c r="F56" s="301">
        <v>6</v>
      </c>
      <c r="G56" s="301" t="s">
        <v>1245</v>
      </c>
      <c r="H56" s="301" t="s">
        <v>1356</v>
      </c>
      <c r="I56" s="317">
        <v>46072</v>
      </c>
      <c r="J56" s="301" t="s">
        <v>1247</v>
      </c>
      <c r="K56" s="301" t="s">
        <v>571</v>
      </c>
      <c r="L56" s="301">
        <v>51943345285</v>
      </c>
      <c r="M56" s="301"/>
      <c r="N56" s="315" t="s">
        <v>1249</v>
      </c>
    </row>
    <row r="57" spans="1:14">
      <c r="A57" s="305">
        <v>46054</v>
      </c>
      <c r="B57" s="313" t="s">
        <v>1361</v>
      </c>
      <c r="C57" s="301"/>
      <c r="D57" s="301"/>
      <c r="E57" s="301" t="s">
        <v>1072</v>
      </c>
      <c r="F57" s="301">
        <v>82</v>
      </c>
      <c r="G57" s="301" t="s">
        <v>1245</v>
      </c>
      <c r="H57" s="301" t="s">
        <v>1072</v>
      </c>
      <c r="I57" s="317">
        <v>46074</v>
      </c>
      <c r="J57" s="301" t="s">
        <v>1248</v>
      </c>
      <c r="K57" s="301" t="s">
        <v>1362</v>
      </c>
      <c r="L57" s="301" t="s">
        <v>1248</v>
      </c>
      <c r="M57" s="301"/>
      <c r="N57" s="315" t="s">
        <v>1249</v>
      </c>
    </row>
    <row r="58" spans="1:14">
      <c r="A58" s="305">
        <v>46054</v>
      </c>
      <c r="B58" s="313" t="s">
        <v>1363</v>
      </c>
      <c r="C58" s="301"/>
      <c r="D58" s="301"/>
      <c r="E58" s="301" t="s">
        <v>884</v>
      </c>
      <c r="F58" s="301">
        <v>4</v>
      </c>
      <c r="G58" s="301" t="s">
        <v>1245</v>
      </c>
      <c r="H58" s="301" t="s">
        <v>1356</v>
      </c>
      <c r="I58" s="317">
        <v>46074</v>
      </c>
      <c r="J58" s="301" t="s">
        <v>1247</v>
      </c>
      <c r="K58" s="301" t="s">
        <v>1364</v>
      </c>
      <c r="L58" s="301" t="s">
        <v>1248</v>
      </c>
      <c r="M58" s="301"/>
      <c r="N58" s="315" t="s">
        <v>1249</v>
      </c>
    </row>
    <row r="59" spans="1:14">
      <c r="A59" s="305">
        <v>46054</v>
      </c>
      <c r="B59" s="313" t="s">
        <v>1365</v>
      </c>
      <c r="C59" s="301"/>
      <c r="D59" s="301"/>
      <c r="E59" s="301" t="s">
        <v>1348</v>
      </c>
      <c r="F59" s="301">
        <v>20</v>
      </c>
      <c r="G59" s="301" t="s">
        <v>1245</v>
      </c>
      <c r="H59" s="301" t="s">
        <v>1284</v>
      </c>
      <c r="I59" s="317">
        <v>46076</v>
      </c>
      <c r="J59" s="301" t="s">
        <v>1247</v>
      </c>
      <c r="K59" s="301" t="s">
        <v>582</v>
      </c>
      <c r="L59" s="301">
        <v>149218</v>
      </c>
      <c r="M59" s="301"/>
      <c r="N59" s="315" t="s">
        <v>1249</v>
      </c>
    </row>
    <row r="60" spans="1:14" ht="62.25">
      <c r="A60" s="305">
        <v>46054</v>
      </c>
      <c r="B60" s="308" t="s">
        <v>1366</v>
      </c>
      <c r="C60" s="301"/>
      <c r="D60" s="301"/>
      <c r="E60" s="301" t="s">
        <v>511</v>
      </c>
      <c r="F60" s="301">
        <v>18</v>
      </c>
      <c r="G60" s="301" t="s">
        <v>1245</v>
      </c>
      <c r="H60" s="301" t="s">
        <v>1334</v>
      </c>
      <c r="I60" s="317">
        <v>46074</v>
      </c>
      <c r="J60" s="301" t="s">
        <v>1248</v>
      </c>
      <c r="K60" s="301" t="s">
        <v>553</v>
      </c>
      <c r="L60" s="301" t="s">
        <v>1248</v>
      </c>
      <c r="M60" s="301"/>
      <c r="N60" s="315" t="s">
        <v>1251</v>
      </c>
    </row>
    <row r="61" spans="1:14">
      <c r="A61" s="305">
        <v>46054</v>
      </c>
      <c r="B61" s="313" t="s">
        <v>1367</v>
      </c>
      <c r="C61" s="316"/>
      <c r="D61" s="301"/>
      <c r="E61" s="301" t="s">
        <v>1072</v>
      </c>
      <c r="F61" s="301">
        <v>12</v>
      </c>
      <c r="G61" s="301" t="s">
        <v>1245</v>
      </c>
      <c r="H61" s="301" t="s">
        <v>1368</v>
      </c>
      <c r="I61" s="317">
        <v>46081</v>
      </c>
      <c r="J61" s="301" t="s">
        <v>1247</v>
      </c>
      <c r="K61" s="301" t="s">
        <v>640</v>
      </c>
      <c r="L61" s="301">
        <v>4052162997</v>
      </c>
      <c r="M61" s="301"/>
      <c r="N61" s="315" t="s">
        <v>1249</v>
      </c>
    </row>
    <row r="62" spans="1:14">
      <c r="A62" s="305">
        <v>46082</v>
      </c>
      <c r="B62" s="313" t="s">
        <v>1369</v>
      </c>
      <c r="C62" s="316"/>
      <c r="D62" s="301"/>
      <c r="E62" s="301" t="s">
        <v>1255</v>
      </c>
      <c r="F62" s="301">
        <v>3</v>
      </c>
      <c r="G62" s="301" t="s">
        <v>1245</v>
      </c>
      <c r="H62" s="301" t="s">
        <v>1368</v>
      </c>
      <c r="I62" s="317">
        <v>46084</v>
      </c>
      <c r="J62" s="301" t="s">
        <v>1248</v>
      </c>
      <c r="K62" s="301" t="s">
        <v>1248</v>
      </c>
      <c r="L62" s="301" t="s">
        <v>1248</v>
      </c>
      <c r="M62" s="301" t="s">
        <v>1248</v>
      </c>
      <c r="N62" s="315" t="s">
        <v>1249</v>
      </c>
    </row>
    <row r="63" spans="1:14">
      <c r="A63" s="305">
        <v>46082</v>
      </c>
      <c r="B63" s="313" t="s">
        <v>1370</v>
      </c>
      <c r="C63" s="316"/>
      <c r="D63" s="301"/>
      <c r="E63" s="301" t="s">
        <v>1371</v>
      </c>
      <c r="F63" s="301">
        <f>66+315</f>
        <v>381</v>
      </c>
      <c r="G63" s="301" t="s">
        <v>1245</v>
      </c>
      <c r="H63" s="301" t="s">
        <v>575</v>
      </c>
      <c r="I63" s="317">
        <v>46086</v>
      </c>
      <c r="J63" s="301"/>
      <c r="K63" s="301" t="s">
        <v>1372</v>
      </c>
      <c r="L63" s="301">
        <v>9293</v>
      </c>
      <c r="M63" s="301" t="s">
        <v>1248</v>
      </c>
      <c r="N63" s="315" t="s">
        <v>1249</v>
      </c>
    </row>
    <row r="64" spans="1:14" ht="62.25">
      <c r="A64" s="305">
        <v>46082</v>
      </c>
      <c r="B64" s="308" t="s">
        <v>1373</v>
      </c>
      <c r="C64" s="316"/>
      <c r="D64" s="301"/>
      <c r="E64" s="301" t="s">
        <v>1374</v>
      </c>
      <c r="F64" s="301">
        <v>2</v>
      </c>
      <c r="G64" s="301" t="s">
        <v>1245</v>
      </c>
      <c r="H64" s="301" t="s">
        <v>608</v>
      </c>
      <c r="I64" s="317">
        <v>46086</v>
      </c>
      <c r="J64" s="301" t="s">
        <v>1247</v>
      </c>
      <c r="K64" s="301" t="s">
        <v>1375</v>
      </c>
      <c r="L64" s="301">
        <v>2995</v>
      </c>
      <c r="M64" s="301" t="s">
        <v>1248</v>
      </c>
      <c r="N64" s="315" t="s">
        <v>1251</v>
      </c>
    </row>
    <row r="65" spans="1:14">
      <c r="A65" s="305">
        <v>46082</v>
      </c>
      <c r="B65" s="313" t="s">
        <v>1376</v>
      </c>
      <c r="C65" s="316"/>
      <c r="D65" s="301"/>
      <c r="E65" s="301" t="s">
        <v>1348</v>
      </c>
      <c r="F65" s="301">
        <v>1</v>
      </c>
      <c r="G65" s="301" t="s">
        <v>1377</v>
      </c>
      <c r="H65" s="301" t="s">
        <v>1378</v>
      </c>
      <c r="I65" s="317">
        <v>46088</v>
      </c>
      <c r="J65" s="301" t="s">
        <v>1247</v>
      </c>
      <c r="K65" s="301" t="s">
        <v>1248</v>
      </c>
      <c r="L65" s="590" t="s">
        <v>1379</v>
      </c>
      <c r="M65" s="301" t="s">
        <v>1248</v>
      </c>
      <c r="N65" s="315" t="s">
        <v>1249</v>
      </c>
    </row>
    <row r="66" spans="1:14">
      <c r="A66" s="305">
        <v>46082</v>
      </c>
      <c r="B66" s="313" t="s">
        <v>1380</v>
      </c>
      <c r="C66" s="301"/>
      <c r="D66" s="301"/>
      <c r="E66" s="301" t="s">
        <v>1321</v>
      </c>
      <c r="F66" s="301">
        <v>11</v>
      </c>
      <c r="G66" s="301" t="s">
        <v>1245</v>
      </c>
      <c r="H66" s="301" t="s">
        <v>1356</v>
      </c>
      <c r="I66" s="317">
        <v>46088</v>
      </c>
      <c r="J66" s="301" t="s">
        <v>1247</v>
      </c>
      <c r="K66" s="301" t="s">
        <v>571</v>
      </c>
      <c r="L66" s="301" t="s">
        <v>1248</v>
      </c>
      <c r="M66" s="301" t="s">
        <v>1248</v>
      </c>
      <c r="N66" s="315" t="s">
        <v>1249</v>
      </c>
    </row>
    <row r="67" spans="1:14">
      <c r="A67" s="305">
        <v>46082</v>
      </c>
      <c r="B67" s="313" t="s">
        <v>1381</v>
      </c>
      <c r="C67" s="316"/>
      <c r="D67" s="301"/>
      <c r="E67" s="301" t="s">
        <v>136</v>
      </c>
      <c r="F67" s="301"/>
      <c r="G67" s="301" t="s">
        <v>1245</v>
      </c>
      <c r="H67" s="301" t="s">
        <v>561</v>
      </c>
      <c r="I67" s="317">
        <v>46092</v>
      </c>
      <c r="J67" s="301" t="s">
        <v>1247</v>
      </c>
      <c r="K67" s="301" t="s">
        <v>1382</v>
      </c>
      <c r="L67" s="301">
        <v>66910</v>
      </c>
      <c r="M67" s="301" t="s">
        <v>1248</v>
      </c>
      <c r="N67" s="315" t="s">
        <v>1249</v>
      </c>
    </row>
    <row r="68" spans="1:14" ht="62.25">
      <c r="A68" s="302"/>
      <c r="B68" s="325"/>
      <c r="C68" s="316"/>
      <c r="D68" s="301"/>
      <c r="E68" s="301"/>
      <c r="F68" s="301"/>
      <c r="G68" s="301"/>
      <c r="H68" s="301"/>
      <c r="I68" s="317"/>
      <c r="J68" s="301"/>
      <c r="K68" s="301" t="s">
        <v>623</v>
      </c>
      <c r="M68" s="301"/>
    </row>
    <row r="69" spans="1:14" ht="62.25">
      <c r="A69" s="302"/>
      <c r="B69" s="325"/>
      <c r="C69" s="316"/>
      <c r="D69" s="301"/>
      <c r="E69" s="301"/>
      <c r="F69" s="326"/>
      <c r="G69" s="301"/>
      <c r="H69" s="301"/>
      <c r="I69" s="317"/>
      <c r="J69" s="301"/>
      <c r="K69" s="301"/>
      <c r="M69" s="301"/>
    </row>
    <row r="70" spans="1:14">
      <c r="A70" s="302"/>
      <c r="B70" s="327"/>
      <c r="C70" s="328"/>
    </row>
    <row r="71" spans="1:14">
      <c r="B71" s="329"/>
      <c r="C71" s="301"/>
      <c r="D71" s="301"/>
      <c r="E71" s="301"/>
      <c r="F71" s="301"/>
      <c r="G71" s="301"/>
      <c r="H71" s="301"/>
      <c r="I71" s="317"/>
      <c r="J71" s="301"/>
    </row>
    <row r="72" spans="1:14">
      <c r="B72" s="329"/>
      <c r="C72" s="301"/>
      <c r="D72" s="301"/>
      <c r="E72" s="301"/>
      <c r="F72" s="301"/>
      <c r="G72" s="301"/>
      <c r="H72" s="301"/>
      <c r="I72" s="301"/>
      <c r="J72" s="301"/>
      <c r="K72" s="301"/>
      <c r="M72" s="301"/>
    </row>
    <row r="73" spans="1:14">
      <c r="B73" s="329"/>
      <c r="C73" s="301"/>
      <c r="D73" s="301"/>
      <c r="E73" s="301"/>
      <c r="F73" s="301"/>
      <c r="G73" s="301"/>
      <c r="H73" s="301"/>
      <c r="I73" s="301"/>
      <c r="J73" s="301"/>
      <c r="K73" s="301"/>
      <c r="M73" s="301"/>
    </row>
    <row r="74" spans="1:14">
      <c r="B74" s="329"/>
      <c r="C74" s="301"/>
      <c r="D74" s="301"/>
      <c r="E74" s="301"/>
      <c r="F74" s="301"/>
      <c r="G74" s="301"/>
      <c r="H74" s="301"/>
      <c r="I74" s="301"/>
      <c r="J74" s="301"/>
      <c r="K74" s="301"/>
      <c r="M74" s="301"/>
    </row>
    <row r="75" spans="1:14">
      <c r="B75" s="329"/>
      <c r="C75" s="301"/>
      <c r="D75" s="301"/>
      <c r="E75" s="301"/>
      <c r="F75" s="301"/>
      <c r="G75" s="301"/>
      <c r="H75" s="301"/>
      <c r="I75" s="301"/>
      <c r="J75" s="301"/>
      <c r="K75" s="301"/>
      <c r="M75" s="301"/>
    </row>
    <row r="76" spans="1:14">
      <c r="B76" s="329"/>
      <c r="C76" s="301"/>
      <c r="D76" s="301"/>
      <c r="E76" s="301"/>
      <c r="F76" s="301"/>
      <c r="G76" s="301"/>
      <c r="H76" s="301"/>
      <c r="I76" s="301"/>
      <c r="J76" s="301"/>
      <c r="K76" s="301"/>
      <c r="M76" s="301"/>
    </row>
    <row r="77" spans="1:14">
      <c r="B77" s="329"/>
      <c r="C77" s="301"/>
      <c r="D77" s="301"/>
      <c r="E77" s="301"/>
      <c r="F77" s="301"/>
      <c r="G77" s="301"/>
      <c r="H77" s="301"/>
      <c r="I77" s="301"/>
      <c r="J77" s="301"/>
      <c r="K77" s="301"/>
      <c r="M77" s="301"/>
    </row>
    <row r="78" spans="1:14">
      <c r="B78" s="329"/>
      <c r="C78" s="301"/>
      <c r="D78" s="301"/>
      <c r="E78" s="301"/>
      <c r="F78" s="301"/>
      <c r="G78" s="301"/>
      <c r="H78" s="301"/>
      <c r="I78" s="301"/>
      <c r="J78" s="301"/>
      <c r="K78" s="301"/>
      <c r="M78" s="301"/>
    </row>
    <row r="79" spans="1:14">
      <c r="B79" s="329"/>
      <c r="C79" s="301"/>
      <c r="D79" s="301"/>
      <c r="E79" s="301"/>
      <c r="F79" s="301"/>
      <c r="G79" s="301"/>
      <c r="H79" s="301"/>
      <c r="I79" s="301"/>
      <c r="J79" s="301"/>
      <c r="K79" s="301"/>
      <c r="M79" s="301"/>
    </row>
    <row r="80" spans="1:14">
      <c r="B80" s="329"/>
      <c r="C80" s="301"/>
      <c r="D80" s="301"/>
      <c r="E80" s="301"/>
      <c r="F80" s="301"/>
      <c r="G80" s="301"/>
      <c r="H80" s="301"/>
      <c r="I80" s="301"/>
      <c r="J80" s="301"/>
      <c r="K80" s="301"/>
      <c r="M80" s="301"/>
    </row>
    <row r="81" spans="2:13">
      <c r="B81" s="329"/>
      <c r="C81" s="301"/>
      <c r="D81" s="301"/>
      <c r="E81" s="301"/>
      <c r="F81" s="301"/>
      <c r="G81" s="301"/>
      <c r="H81" s="301"/>
      <c r="I81" s="301"/>
      <c r="J81" s="301"/>
      <c r="K81" s="301"/>
      <c r="M81" s="301"/>
    </row>
    <row r="82" spans="2:13">
      <c r="B82" s="329"/>
      <c r="C82" s="301"/>
      <c r="D82" s="301"/>
      <c r="E82" s="301"/>
      <c r="F82" s="301"/>
      <c r="G82" s="301"/>
      <c r="H82" s="301"/>
      <c r="I82" s="301"/>
      <c r="J82" s="301"/>
      <c r="K82" s="301"/>
      <c r="M82" s="301"/>
    </row>
    <row r="83" spans="2:13">
      <c r="B83" s="329"/>
      <c r="C83" s="301"/>
      <c r="D83" s="301"/>
      <c r="E83" s="301"/>
      <c r="F83" s="301"/>
      <c r="G83" s="301"/>
      <c r="H83" s="301"/>
      <c r="I83" s="301"/>
      <c r="J83" s="301"/>
      <c r="K83" s="301"/>
      <c r="M83" s="301"/>
    </row>
    <row r="84" spans="2:13">
      <c r="B84" s="329"/>
      <c r="C84" s="301"/>
      <c r="D84" s="301"/>
      <c r="E84" s="301"/>
      <c r="F84" s="301"/>
      <c r="G84" s="301"/>
      <c r="H84" s="301"/>
      <c r="I84" s="301"/>
      <c r="J84" s="301"/>
      <c r="K84" s="301"/>
      <c r="M84" s="301"/>
    </row>
    <row r="85" spans="2:13">
      <c r="B85" s="329"/>
      <c r="C85" s="301"/>
      <c r="D85" s="301"/>
      <c r="E85" s="301"/>
      <c r="F85" s="301"/>
      <c r="G85" s="301"/>
      <c r="H85" s="301"/>
      <c r="I85" s="317"/>
      <c r="J85" s="301"/>
    </row>
    <row r="86" spans="2:13">
      <c r="B86" s="329"/>
      <c r="C86" s="301"/>
      <c r="D86" s="301"/>
      <c r="E86" s="301"/>
      <c r="F86" s="301"/>
      <c r="G86" s="301"/>
      <c r="H86" s="301"/>
      <c r="I86" s="317"/>
      <c r="J86" s="301"/>
    </row>
  </sheetData>
  <hyperlinks>
    <hyperlink ref="M5" r:id="rId1"/>
    <hyperlink ref="M6" r:id="rId2"/>
    <hyperlink ref="M7" r:id="rId3"/>
    <hyperlink ref="M33" r:id="rId4"/>
    <hyperlink ref="C5" r:id="rId5"/>
    <hyperlink ref="C2" r:id="rId6"/>
    <hyperlink ref="C3" r:id="rId7"/>
    <hyperlink ref="C4" r:id="rId8"/>
  </hyperlinks>
  <pageMargins left="0.69930555555555596" right="0.69930555555555596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6"/>
  <sheetViews>
    <sheetView workbookViewId="0">
      <selection activeCell="E1" sqref="E1"/>
    </sheetView>
  </sheetViews>
  <sheetFormatPr defaultColWidth="9" defaultRowHeight="12.75"/>
  <cols>
    <col min="1" max="1" width="46.85546875" customWidth="1"/>
    <col min="2" max="2" width="59.7109375" customWidth="1"/>
    <col min="3" max="3" width="36.42578125" customWidth="1"/>
    <col min="4" max="4" width="24.5703125" customWidth="1"/>
    <col min="5" max="5" width="40.42578125" customWidth="1"/>
    <col min="6" max="6" width="10.7109375" customWidth="1"/>
    <col min="7" max="7" width="19.7109375" customWidth="1"/>
  </cols>
  <sheetData>
    <row r="1" spans="1:7" ht="20.25">
      <c r="D1" s="274">
        <v>0.05</v>
      </c>
      <c r="E1" s="275">
        <v>2.5000000000000001E-2</v>
      </c>
    </row>
    <row r="2" spans="1:7" ht="26.25">
      <c r="A2" s="596" t="s">
        <v>1383</v>
      </c>
      <c r="B2" s="596"/>
      <c r="C2" s="596"/>
      <c r="D2" s="276">
        <f>C4*5/100</f>
        <v>8027.5</v>
      </c>
      <c r="E2" s="276">
        <f>C4*2.5/100</f>
        <v>4013.75</v>
      </c>
      <c r="G2" s="276">
        <f>19284.76+19284.76</f>
        <v>38569.519999999997</v>
      </c>
    </row>
    <row r="3" spans="1:7" ht="30">
      <c r="A3" s="277" t="s">
        <v>1384</v>
      </c>
      <c r="B3" s="277" t="s">
        <v>688</v>
      </c>
      <c r="C3" s="277" t="s">
        <v>1229</v>
      </c>
      <c r="D3" s="277" t="s">
        <v>1385</v>
      </c>
      <c r="E3" s="277" t="s">
        <v>1386</v>
      </c>
    </row>
    <row r="4" spans="1:7" ht="34.5">
      <c r="A4" s="278">
        <v>1690</v>
      </c>
      <c r="B4" s="278">
        <v>95</v>
      </c>
      <c r="C4" s="279">
        <f>A4*B4</f>
        <v>160550</v>
      </c>
      <c r="D4" s="279">
        <f t="shared" ref="D4:D7" si="0">C4*5/100</f>
        <v>8027.5</v>
      </c>
      <c r="E4" s="279">
        <f t="shared" ref="E4:E7" si="1">D4+C4</f>
        <v>168577.5</v>
      </c>
    </row>
    <row r="5" spans="1:7" ht="34.5">
      <c r="A5" s="278"/>
      <c r="B5" s="278"/>
      <c r="C5" s="279">
        <f>A5*B5</f>
        <v>0</v>
      </c>
      <c r="D5" s="257">
        <f t="shared" si="0"/>
        <v>0</v>
      </c>
      <c r="E5" s="279">
        <f t="shared" si="1"/>
        <v>0</v>
      </c>
    </row>
    <row r="6" spans="1:7" ht="34.5">
      <c r="A6" s="278"/>
      <c r="B6" s="278"/>
      <c r="C6" s="279">
        <f>B6*A6</f>
        <v>0</v>
      </c>
      <c r="D6" s="257">
        <f t="shared" si="0"/>
        <v>0</v>
      </c>
      <c r="E6" s="279">
        <f t="shared" si="1"/>
        <v>0</v>
      </c>
    </row>
    <row r="7" spans="1:7" ht="34.5">
      <c r="A7" s="278"/>
      <c r="B7" s="278"/>
      <c r="C7" s="279">
        <f>B7*A7</f>
        <v>0</v>
      </c>
      <c r="D7" s="257">
        <f t="shared" si="0"/>
        <v>0</v>
      </c>
      <c r="E7" s="279">
        <f t="shared" si="1"/>
        <v>0</v>
      </c>
    </row>
    <row r="8" spans="1:7" ht="34.5">
      <c r="A8" s="278">
        <f>A4+A5</f>
        <v>1690</v>
      </c>
      <c r="B8" s="278"/>
      <c r="C8" s="279">
        <f>SUM(C4:C7)</f>
        <v>160550</v>
      </c>
      <c r="D8" s="257"/>
      <c r="E8" s="279"/>
    </row>
    <row r="9" spans="1:7" ht="34.5">
      <c r="A9" s="280"/>
      <c r="B9" s="280"/>
      <c r="C9" s="281"/>
      <c r="D9" s="265"/>
      <c r="E9" s="281"/>
    </row>
    <row r="11" spans="1:7" ht="30">
      <c r="D11" s="282" t="s">
        <v>1231</v>
      </c>
      <c r="E11" s="283">
        <f>SUM(E4:E9)</f>
        <v>168577.5</v>
      </c>
      <c r="F11" s="171"/>
    </row>
    <row r="12" spans="1:7" ht="26.25">
      <c r="D12" s="284"/>
      <c r="E12" s="285"/>
      <c r="F12" s="171"/>
    </row>
    <row r="13" spans="1:7" ht="26.25">
      <c r="A13" s="257" t="s">
        <v>1387</v>
      </c>
      <c r="B13" s="257" t="s">
        <v>1228</v>
      </c>
      <c r="C13" s="257" t="s">
        <v>1229</v>
      </c>
      <c r="D13" s="257" t="s">
        <v>1386</v>
      </c>
      <c r="E13" s="285"/>
      <c r="F13" s="171"/>
    </row>
    <row r="14" spans="1:7" ht="34.5">
      <c r="A14" s="286">
        <v>859</v>
      </c>
      <c r="B14" s="286">
        <v>465</v>
      </c>
      <c r="C14" s="287">
        <f t="shared" ref="C14:C17" si="2">A14*B14</f>
        <v>399435</v>
      </c>
      <c r="D14" s="288"/>
      <c r="E14" s="285"/>
      <c r="F14" s="171"/>
    </row>
    <row r="15" spans="1:7" ht="34.5">
      <c r="A15" s="286">
        <v>110</v>
      </c>
      <c r="B15" s="286">
        <v>581</v>
      </c>
      <c r="C15" s="287">
        <f t="shared" si="2"/>
        <v>63910</v>
      </c>
      <c r="D15" s="288"/>
      <c r="E15" s="285"/>
      <c r="F15" s="171"/>
    </row>
    <row r="16" spans="1:7" ht="34.5">
      <c r="A16" s="286">
        <v>684.02</v>
      </c>
      <c r="B16" s="286">
        <v>996</v>
      </c>
      <c r="C16" s="287">
        <f t="shared" si="2"/>
        <v>681283.92</v>
      </c>
      <c r="D16" s="288"/>
      <c r="E16" s="285"/>
      <c r="F16" s="171"/>
    </row>
    <row r="17" spans="1:6" ht="34.5">
      <c r="A17" s="286">
        <v>2000</v>
      </c>
      <c r="B17" s="286">
        <v>761</v>
      </c>
      <c r="C17" s="287">
        <f t="shared" si="2"/>
        <v>1522000</v>
      </c>
      <c r="D17" s="288"/>
      <c r="E17" s="285"/>
      <c r="F17" s="171"/>
    </row>
    <row r="18" spans="1:6" ht="34.5">
      <c r="A18" s="289">
        <v>2000</v>
      </c>
      <c r="B18" s="289"/>
      <c r="C18" s="287"/>
      <c r="D18" s="290"/>
      <c r="E18" s="285"/>
      <c r="F18" s="171"/>
    </row>
    <row r="19" spans="1:6" ht="34.5">
      <c r="A19" s="289">
        <v>2000</v>
      </c>
      <c r="B19" s="289"/>
      <c r="C19" s="287"/>
      <c r="D19" s="290"/>
      <c r="E19" s="285">
        <v>4764</v>
      </c>
      <c r="F19" s="171"/>
    </row>
    <row r="20" spans="1:6" ht="34.5">
      <c r="A20" s="289">
        <v>2832.75</v>
      </c>
      <c r="B20" s="289">
        <v>969</v>
      </c>
      <c r="C20" s="287"/>
      <c r="D20" s="290"/>
      <c r="E20" s="285">
        <v>6487.07</v>
      </c>
      <c r="F20" s="171"/>
    </row>
    <row r="21" spans="1:6" ht="34.5">
      <c r="A21" s="289"/>
      <c r="B21" s="289">
        <v>684.02</v>
      </c>
      <c r="C21" s="287"/>
      <c r="D21" s="290"/>
      <c r="E21" s="285"/>
      <c r="F21" s="171"/>
    </row>
    <row r="22" spans="1:6" ht="34.5">
      <c r="A22" s="289"/>
      <c r="B22" s="289">
        <v>2000</v>
      </c>
      <c r="C22" s="287"/>
      <c r="D22" s="290"/>
      <c r="E22" s="285"/>
      <c r="F22" s="171"/>
    </row>
    <row r="23" spans="1:6" ht="34.5">
      <c r="A23" s="289"/>
      <c r="B23" s="289">
        <v>2832.75</v>
      </c>
      <c r="C23" s="287"/>
      <c r="D23" s="290"/>
      <c r="E23" s="285"/>
      <c r="F23" s="171"/>
    </row>
    <row r="24" spans="1:6" ht="34.5">
      <c r="A24" s="289"/>
      <c r="B24" s="289"/>
      <c r="C24" s="287"/>
      <c r="D24" s="290"/>
      <c r="E24" s="285"/>
      <c r="F24" s="171"/>
    </row>
    <row r="25" spans="1:6" ht="34.5">
      <c r="A25" s="289">
        <f>SUM(A14:A20)</f>
        <v>10485.77</v>
      </c>
      <c r="B25" s="289" t="s">
        <v>1388</v>
      </c>
      <c r="C25" s="287">
        <f>SUM(C14:C17)</f>
        <v>2666628.92</v>
      </c>
      <c r="D25" s="290"/>
      <c r="E25" s="285"/>
      <c r="F25" s="171"/>
    </row>
    <row r="26" spans="1:6" ht="34.5">
      <c r="A26" s="280"/>
      <c r="B26" s="280"/>
      <c r="C26" s="291"/>
      <c r="D26" s="290"/>
      <c r="E26" s="285"/>
      <c r="F26" s="171"/>
    </row>
    <row r="27" spans="1:6" ht="26.25">
      <c r="E27" s="285"/>
      <c r="F27" s="171"/>
    </row>
    <row r="28" spans="1:6" ht="26.25">
      <c r="A28" s="257" t="s">
        <v>1387</v>
      </c>
      <c r="B28" s="257" t="s">
        <v>1389</v>
      </c>
      <c r="C28" s="257" t="s">
        <v>1229</v>
      </c>
      <c r="D28" s="257" t="s">
        <v>1386</v>
      </c>
      <c r="E28" s="285"/>
      <c r="F28" s="171"/>
    </row>
    <row r="29" spans="1:6" ht="34.5">
      <c r="A29" s="278">
        <v>9565</v>
      </c>
      <c r="B29" s="278">
        <v>92.55</v>
      </c>
      <c r="C29" s="287">
        <f>A29*B29</f>
        <v>885240.75</v>
      </c>
      <c r="D29" s="288"/>
      <c r="E29" s="285"/>
      <c r="F29" s="171"/>
    </row>
    <row r="30" spans="1:6" ht="34.5">
      <c r="A30" s="292"/>
      <c r="B30" s="278"/>
      <c r="C30" s="287">
        <f>A30*B30</f>
        <v>0</v>
      </c>
      <c r="D30" s="288"/>
      <c r="E30" s="285"/>
      <c r="F30" s="171"/>
    </row>
    <row r="31" spans="1:6" ht="26.25">
      <c r="D31" s="284"/>
      <c r="E31" s="285"/>
      <c r="F31" s="171"/>
    </row>
    <row r="32" spans="1:6" ht="26.25">
      <c r="D32" s="284"/>
      <c r="E32" s="285"/>
      <c r="F32" s="171"/>
    </row>
    <row r="33" spans="1:7" ht="26.25">
      <c r="D33" s="284"/>
      <c r="E33" s="285"/>
      <c r="F33" s="171"/>
    </row>
    <row r="34" spans="1:7" ht="26.25">
      <c r="D34" s="284"/>
      <c r="E34" s="285"/>
      <c r="F34" s="171"/>
    </row>
    <row r="35" spans="1:7" ht="26.25">
      <c r="D35" s="284"/>
      <c r="E35" s="285"/>
      <c r="F35" s="171"/>
    </row>
    <row r="36" spans="1:7" ht="26.25">
      <c r="D36" s="284"/>
      <c r="E36" s="285"/>
      <c r="F36" s="171"/>
    </row>
    <row r="37" spans="1:7" ht="26.25">
      <c r="D37" s="284"/>
      <c r="E37" s="285"/>
      <c r="F37" s="171"/>
    </row>
    <row r="38" spans="1:7" ht="26.25">
      <c r="D38" s="284"/>
      <c r="E38" s="285"/>
      <c r="F38" s="171"/>
    </row>
    <row r="39" spans="1:7" ht="26.25">
      <c r="D39" s="284"/>
      <c r="E39" s="285"/>
      <c r="F39" s="171"/>
    </row>
    <row r="40" spans="1:7" ht="34.5">
      <c r="A40" s="278" t="s">
        <v>1390</v>
      </c>
      <c r="B40" s="278" t="s">
        <v>1391</v>
      </c>
      <c r="D40" s="293"/>
      <c r="E40" s="293"/>
    </row>
    <row r="41" spans="1:7" ht="34.5">
      <c r="A41" s="278">
        <f>10.5*4</f>
        <v>42</v>
      </c>
      <c r="B41" s="278" t="s">
        <v>1391</v>
      </c>
    </row>
    <row r="42" spans="1:7" ht="34.5">
      <c r="A42" s="278">
        <f>10.5*3</f>
        <v>31.5</v>
      </c>
      <c r="B42" s="278"/>
    </row>
    <row r="43" spans="1:7" ht="34.5">
      <c r="A43" s="278">
        <v>6.7</v>
      </c>
      <c r="E43" s="294"/>
      <c r="G43" s="295">
        <f>E11-E43</f>
        <v>168577.5</v>
      </c>
    </row>
    <row r="44" spans="1:7" ht="34.5">
      <c r="A44" s="278">
        <f>SUM(A41:A43)</f>
        <v>80.2</v>
      </c>
    </row>
    <row r="51" spans="1:3" ht="27.75">
      <c r="A51" s="296" t="s">
        <v>1384</v>
      </c>
      <c r="B51" s="297" t="s">
        <v>1236</v>
      </c>
    </row>
    <row r="52" spans="1:3" ht="34.5">
      <c r="A52" s="278">
        <v>16791</v>
      </c>
      <c r="B52" s="278"/>
      <c r="C52" s="292">
        <f>A52*B52</f>
        <v>0</v>
      </c>
    </row>
    <row r="53" spans="1:3" ht="34.5">
      <c r="A53" s="278"/>
    </row>
    <row r="54" spans="1:3" ht="34.5">
      <c r="A54" s="298">
        <v>14276072</v>
      </c>
    </row>
    <row r="55" spans="1:3" ht="34.5">
      <c r="A55" s="298">
        <v>23000000</v>
      </c>
    </row>
    <row r="56" spans="1:3" ht="34.5">
      <c r="A56" s="298">
        <f>A55-A54</f>
        <v>8723928</v>
      </c>
    </row>
  </sheetData>
  <mergeCells count="1">
    <mergeCell ref="A2:C2"/>
  </mergeCells>
  <hyperlinks>
    <hyperlink ref="B40" r:id="rId1"/>
  </hyperlinks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B1:H22"/>
  <sheetViews>
    <sheetView zoomScale="85" zoomScaleNormal="85" workbookViewId="0">
      <selection activeCell="D14" sqref="D14"/>
    </sheetView>
  </sheetViews>
  <sheetFormatPr defaultColWidth="9" defaultRowHeight="37.5"/>
  <cols>
    <col min="1" max="1" width="0.28515625" style="15" customWidth="1"/>
    <col min="2" max="2" width="5" style="30" customWidth="1"/>
    <col min="3" max="3" width="19.28515625" style="15" customWidth="1"/>
    <col min="4" max="5" width="59" style="15" customWidth="1"/>
    <col min="6" max="6" width="23.7109375" style="271" customWidth="1"/>
    <col min="7" max="16384" width="9" style="15"/>
  </cols>
  <sheetData>
    <row r="1" spans="2:8">
      <c r="B1" s="272" t="s">
        <v>1392</v>
      </c>
      <c r="C1" s="272" t="s">
        <v>1393</v>
      </c>
      <c r="D1" s="272" t="s">
        <v>1394</v>
      </c>
      <c r="E1" s="273"/>
    </row>
    <row r="2" spans="2:8">
      <c r="B2" s="272">
        <v>1</v>
      </c>
      <c r="C2" s="272" t="s">
        <v>1395</v>
      </c>
      <c r="D2" s="272" t="s">
        <v>1396</v>
      </c>
    </row>
    <row r="3" spans="2:8">
      <c r="B3" s="272">
        <v>2</v>
      </c>
      <c r="C3" s="272" t="s">
        <v>1397</v>
      </c>
      <c r="D3" s="272" t="s">
        <v>1398</v>
      </c>
      <c r="E3" s="271" t="s">
        <v>1399</v>
      </c>
      <c r="F3" s="271" t="s">
        <v>1400</v>
      </c>
    </row>
    <row r="4" spans="2:8">
      <c r="B4" s="272">
        <v>3</v>
      </c>
      <c r="C4" s="272" t="s">
        <v>1401</v>
      </c>
      <c r="D4" s="272" t="s">
        <v>1402</v>
      </c>
      <c r="E4" s="271" t="s">
        <v>1403</v>
      </c>
      <c r="F4" s="271" t="s">
        <v>1404</v>
      </c>
      <c r="G4" s="271"/>
      <c r="H4" s="29"/>
    </row>
    <row r="5" spans="2:8">
      <c r="B5" s="272">
        <v>4</v>
      </c>
      <c r="C5" s="272" t="s">
        <v>1405</v>
      </c>
      <c r="D5" s="272" t="s">
        <v>1406</v>
      </c>
      <c r="E5" s="271" t="s">
        <v>1407</v>
      </c>
      <c r="F5" s="271" t="s">
        <v>1408</v>
      </c>
    </row>
    <row r="6" spans="2:8" ht="27.75">
      <c r="B6" s="272">
        <v>5</v>
      </c>
      <c r="C6" s="272" t="s">
        <v>1409</v>
      </c>
      <c r="D6" s="272" t="s">
        <v>1410</v>
      </c>
      <c r="E6" s="29"/>
      <c r="F6" s="29"/>
    </row>
    <row r="7" spans="2:8">
      <c r="B7" s="272">
        <v>6</v>
      </c>
      <c r="C7" s="272" t="s">
        <v>1411</v>
      </c>
      <c r="D7" s="272" t="s">
        <v>1412</v>
      </c>
      <c r="E7" s="273"/>
    </row>
    <row r="8" spans="2:8">
      <c r="B8" s="272">
        <v>7</v>
      </c>
      <c r="C8" s="272" t="s">
        <v>1413</v>
      </c>
      <c r="D8" s="272" t="s">
        <v>1414</v>
      </c>
      <c r="E8" s="273"/>
    </row>
    <row r="9" spans="2:8">
      <c r="B9" s="272">
        <v>8</v>
      </c>
      <c r="C9" s="272" t="s">
        <v>1415</v>
      </c>
      <c r="D9" s="272" t="s">
        <v>1416</v>
      </c>
      <c r="E9" s="273"/>
    </row>
    <row r="10" spans="2:8">
      <c r="B10" s="272">
        <v>9</v>
      </c>
      <c r="C10" s="272" t="s">
        <v>1417</v>
      </c>
      <c r="D10" s="272" t="s">
        <v>1418</v>
      </c>
      <c r="E10" s="271" t="s">
        <v>1419</v>
      </c>
      <c r="F10" s="271" t="s">
        <v>1420</v>
      </c>
    </row>
    <row r="11" spans="2:8">
      <c r="B11" s="272">
        <v>10</v>
      </c>
      <c r="C11" s="272" t="s">
        <v>1421</v>
      </c>
      <c r="D11" s="272" t="s">
        <v>1422</v>
      </c>
      <c r="E11" s="273"/>
    </row>
    <row r="12" spans="2:8">
      <c r="B12" s="272">
        <v>11</v>
      </c>
      <c r="C12" s="272" t="s">
        <v>1423</v>
      </c>
      <c r="D12" s="272" t="s">
        <v>1424</v>
      </c>
      <c r="E12" s="273"/>
    </row>
    <row r="13" spans="2:8">
      <c r="B13" s="272">
        <v>12</v>
      </c>
      <c r="C13" s="272" t="s">
        <v>1425</v>
      </c>
      <c r="D13" s="272" t="s">
        <v>1426</v>
      </c>
      <c r="E13" s="273"/>
    </row>
    <row r="14" spans="2:8">
      <c r="B14" s="272">
        <v>13</v>
      </c>
      <c r="C14" s="272" t="s">
        <v>1427</v>
      </c>
      <c r="D14" s="272" t="s">
        <v>1428</v>
      </c>
      <c r="E14" s="273"/>
    </row>
    <row r="15" spans="2:8">
      <c r="B15" s="272">
        <v>14</v>
      </c>
      <c r="C15" s="272" t="s">
        <v>1429</v>
      </c>
      <c r="D15" s="272" t="s">
        <v>1430</v>
      </c>
      <c r="E15" s="273"/>
    </row>
    <row r="16" spans="2:8">
      <c r="B16" s="272">
        <v>15</v>
      </c>
      <c r="C16" s="272" t="s">
        <v>1431</v>
      </c>
      <c r="D16" s="272" t="s">
        <v>1432</v>
      </c>
      <c r="E16" s="273"/>
    </row>
    <row r="17" spans="3:5">
      <c r="C17" s="30"/>
      <c r="D17" s="30"/>
      <c r="E17" s="30"/>
    </row>
    <row r="18" spans="3:5">
      <c r="C18" s="30"/>
      <c r="D18" s="30"/>
      <c r="E18" s="30"/>
    </row>
    <row r="19" spans="3:5">
      <c r="C19" s="30"/>
      <c r="D19" s="30"/>
      <c r="E19" s="30"/>
    </row>
    <row r="20" spans="3:5">
      <c r="C20" s="30"/>
      <c r="D20" s="30"/>
      <c r="E20" s="30"/>
    </row>
    <row r="21" spans="3:5">
      <c r="C21" s="30"/>
      <c r="D21" s="30"/>
      <c r="E21" s="30"/>
    </row>
    <row r="22" spans="3:5">
      <c r="C22" s="30"/>
      <c r="D22" s="30"/>
      <c r="E22" s="30"/>
    </row>
  </sheetData>
  <pageMargins left="0.70763888888888904" right="0.31388888888888899" top="0.74791666666666701" bottom="0.46875" header="0.31388888888888899" footer="0.31388888888888899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90"/>
  <sheetViews>
    <sheetView topLeftCell="A4" zoomScale="85" zoomScaleNormal="85" workbookViewId="0">
      <selection activeCell="D4" sqref="D4"/>
    </sheetView>
  </sheetViews>
  <sheetFormatPr defaultColWidth="9" defaultRowHeight="12.75"/>
  <cols>
    <col min="1" max="1" width="5" customWidth="1"/>
    <col min="2" max="2" width="52.140625" customWidth="1"/>
    <col min="3" max="3" width="13.42578125" customWidth="1"/>
    <col min="4" max="4" width="47.85546875" customWidth="1"/>
    <col min="5" max="5" width="37.140625" customWidth="1"/>
    <col min="6" max="6" width="11.85546875" customWidth="1"/>
    <col min="7" max="7" width="11" customWidth="1"/>
    <col min="8" max="8" width="9.28515625" customWidth="1"/>
    <col min="9" max="9" width="33.140625" customWidth="1"/>
    <col min="10" max="10" width="8.42578125" customWidth="1"/>
    <col min="11" max="11" width="10.7109375" customWidth="1"/>
    <col min="12" max="14" width="22.42578125" customWidth="1"/>
    <col min="15" max="15" width="41.140625" customWidth="1"/>
    <col min="16" max="16" width="28" customWidth="1"/>
    <col min="17" max="17" width="17" customWidth="1"/>
    <col min="18" max="19" width="14.28515625" customWidth="1"/>
    <col min="21" max="21" width="23.7109375" customWidth="1"/>
    <col min="22" max="22" width="9.42578125" customWidth="1"/>
    <col min="23" max="23" width="45.7109375" customWidth="1"/>
    <col min="24" max="24" width="4.5703125" customWidth="1"/>
    <col min="25" max="25" width="6" customWidth="1"/>
    <col min="26" max="26" width="7.5703125" customWidth="1"/>
  </cols>
  <sheetData>
    <row r="1" spans="1:26" ht="27.75">
      <c r="H1" s="241"/>
      <c r="I1" s="241" t="s">
        <v>1433</v>
      </c>
      <c r="L1" s="241" t="s">
        <v>1415</v>
      </c>
      <c r="M1" s="241" t="s">
        <v>1405</v>
      </c>
      <c r="N1" s="241" t="s">
        <v>1397</v>
      </c>
      <c r="O1" s="241" t="s">
        <v>1401</v>
      </c>
      <c r="P1" s="257" t="s">
        <v>1434</v>
      </c>
      <c r="Q1" s="265" t="s">
        <v>1435</v>
      </c>
      <c r="R1" s="196"/>
      <c r="S1" s="266"/>
      <c r="T1" s="266"/>
      <c r="U1" s="266"/>
      <c r="V1" s="266"/>
      <c r="X1" s="257">
        <v>17</v>
      </c>
      <c r="Y1" s="257">
        <v>2.5</v>
      </c>
      <c r="Z1" s="171">
        <f>X1*Y1</f>
        <v>42.5</v>
      </c>
    </row>
    <row r="2" spans="1:26" ht="35.25">
      <c r="B2" s="242" t="s">
        <v>1384</v>
      </c>
      <c r="C2" s="34" t="s">
        <v>1229</v>
      </c>
      <c r="D2" s="34" t="s">
        <v>1385</v>
      </c>
      <c r="E2" s="34" t="s">
        <v>1386</v>
      </c>
      <c r="H2" s="241"/>
      <c r="I2" s="241">
        <v>1165</v>
      </c>
      <c r="J2" s="258"/>
      <c r="K2" s="258"/>
      <c r="L2" s="258"/>
      <c r="M2" s="257"/>
      <c r="N2" s="241" t="s">
        <v>1053</v>
      </c>
      <c r="O2" s="241" t="s">
        <v>1053</v>
      </c>
      <c r="P2" s="259">
        <f>P3-P4</f>
        <v>1</v>
      </c>
      <c r="Q2" s="259">
        <v>46</v>
      </c>
      <c r="R2" s="259">
        <v>58</v>
      </c>
      <c r="S2" s="259">
        <v>58</v>
      </c>
      <c r="T2" s="267"/>
      <c r="U2" s="267"/>
      <c r="V2" s="266"/>
      <c r="X2" s="257"/>
    </row>
    <row r="3" spans="1:26" ht="35.25">
      <c r="A3" s="243"/>
      <c r="B3" s="244">
        <v>23800</v>
      </c>
      <c r="C3" s="34">
        <f>B3*16</f>
        <v>380800</v>
      </c>
      <c r="D3" s="34">
        <f>C3*5/100</f>
        <v>19040</v>
      </c>
      <c r="E3" s="34">
        <f>D3+C3</f>
        <v>399840</v>
      </c>
      <c r="H3" s="241"/>
      <c r="I3" s="241">
        <v>4142</v>
      </c>
      <c r="J3" s="258"/>
      <c r="L3" s="260"/>
      <c r="M3" s="257"/>
      <c r="O3" s="261"/>
      <c r="P3" s="259">
        <v>4.8</v>
      </c>
      <c r="Q3" s="259">
        <v>34</v>
      </c>
      <c r="R3" s="259">
        <v>45.9</v>
      </c>
      <c r="S3" s="259">
        <v>44.9</v>
      </c>
      <c r="T3" s="258"/>
      <c r="U3" s="258"/>
      <c r="V3" s="266"/>
      <c r="X3" s="257"/>
    </row>
    <row r="4" spans="1:26" ht="35.25">
      <c r="A4" s="243"/>
      <c r="B4" s="244">
        <f>624+5616</f>
        <v>6240</v>
      </c>
      <c r="C4" s="34"/>
      <c r="D4" s="34"/>
      <c r="E4" s="85" t="s">
        <v>1436</v>
      </c>
      <c r="F4" s="245" t="s">
        <v>1437</v>
      </c>
      <c r="G4" s="245" t="s">
        <v>1438</v>
      </c>
      <c r="H4" s="241"/>
      <c r="I4" s="241">
        <v>3941</v>
      </c>
      <c r="J4" s="258"/>
      <c r="M4" s="257"/>
      <c r="P4" s="259">
        <v>3.8</v>
      </c>
      <c r="Q4" s="259">
        <v>28</v>
      </c>
      <c r="R4" s="259">
        <v>44.9</v>
      </c>
      <c r="S4" s="259">
        <v>44.9</v>
      </c>
      <c r="T4" s="258"/>
      <c r="U4" s="258"/>
      <c r="X4" s="257"/>
    </row>
    <row r="5" spans="1:26" ht="35.25">
      <c r="A5" s="243"/>
      <c r="B5" s="244"/>
      <c r="C5" s="34"/>
      <c r="D5" s="34"/>
      <c r="E5" s="85">
        <v>251020</v>
      </c>
      <c r="F5" s="245" t="s">
        <v>1439</v>
      </c>
      <c r="G5" s="246" t="s">
        <v>1440</v>
      </c>
      <c r="H5" s="241"/>
      <c r="I5" s="241">
        <v>3000</v>
      </c>
      <c r="J5" s="258"/>
      <c r="M5" s="257"/>
      <c r="P5" s="259">
        <f>P3</f>
        <v>4.8</v>
      </c>
      <c r="Q5" s="265"/>
      <c r="X5" s="257"/>
    </row>
    <row r="6" spans="1:26" ht="45">
      <c r="C6" s="34"/>
      <c r="H6" s="241"/>
      <c r="I6" s="241"/>
      <c r="N6" s="262"/>
      <c r="O6" s="263">
        <f>N6</f>
        <v>0</v>
      </c>
    </row>
    <row r="7" spans="1:26" ht="23.25">
      <c r="B7" s="247" t="s">
        <v>1441</v>
      </c>
      <c r="C7" s="247"/>
      <c r="D7" s="247" t="s">
        <v>1442</v>
      </c>
      <c r="E7" s="247" t="s">
        <v>1443</v>
      </c>
      <c r="H7" s="241"/>
      <c r="I7" s="241"/>
    </row>
    <row r="8" spans="1:26" ht="23.25">
      <c r="B8" s="247" t="s">
        <v>1444</v>
      </c>
      <c r="C8" s="247"/>
      <c r="D8" s="247" t="s">
        <v>1043</v>
      </c>
      <c r="E8" s="248"/>
      <c r="H8" s="241"/>
      <c r="I8" s="241"/>
    </row>
    <row r="9" spans="1:26" ht="23.25">
      <c r="B9" s="247" t="s">
        <v>1445</v>
      </c>
      <c r="C9" s="247"/>
      <c r="D9" s="247" t="s">
        <v>1446</v>
      </c>
      <c r="H9" s="241"/>
      <c r="I9" s="241"/>
      <c r="U9" s="268" t="s">
        <v>1447</v>
      </c>
      <c r="V9" s="268" t="s">
        <v>1448</v>
      </c>
      <c r="W9" s="268" t="s">
        <v>1449</v>
      </c>
    </row>
    <row r="10" spans="1:26" ht="23.25">
      <c r="B10" s="249" t="s">
        <v>1450</v>
      </c>
      <c r="C10" s="249"/>
      <c r="D10" s="247">
        <v>99</v>
      </c>
      <c r="H10" s="241"/>
      <c r="I10" s="241"/>
      <c r="O10" s="34" t="s">
        <v>928</v>
      </c>
    </row>
    <row r="11" spans="1:26" ht="23.25">
      <c r="B11" s="249" t="s">
        <v>1451</v>
      </c>
      <c r="C11" s="249"/>
      <c r="D11" s="247" t="s">
        <v>1053</v>
      </c>
      <c r="H11" s="241" t="s">
        <v>1452</v>
      </c>
      <c r="I11" s="241">
        <f>SUM(I2:I10)</f>
        <v>12248</v>
      </c>
      <c r="U11" s="268" t="s">
        <v>1447</v>
      </c>
      <c r="V11" s="268" t="s">
        <v>1453</v>
      </c>
      <c r="W11" s="268" t="s">
        <v>1454</v>
      </c>
      <c r="X11" s="268"/>
    </row>
    <row r="12" spans="1:26" ht="35.25">
      <c r="B12" s="250"/>
      <c r="C12" s="250"/>
      <c r="H12" s="251"/>
      <c r="I12" s="251"/>
      <c r="O12" s="264" t="s">
        <v>1455</v>
      </c>
      <c r="P12" s="264" t="s">
        <v>1400</v>
      </c>
    </row>
    <row r="13" spans="1:26" ht="35.25">
      <c r="B13" s="250"/>
      <c r="C13" s="250"/>
      <c r="H13" s="251"/>
      <c r="I13" s="251"/>
      <c r="O13" s="264" t="s">
        <v>1456</v>
      </c>
      <c r="P13" s="264" t="s">
        <v>1457</v>
      </c>
    </row>
    <row r="14" spans="1:26" ht="35.25">
      <c r="A14" s="252">
        <v>1</v>
      </c>
      <c r="B14" s="253" t="s">
        <v>1458</v>
      </c>
      <c r="C14" s="250"/>
      <c r="D14" s="254">
        <v>1</v>
      </c>
    </row>
    <row r="15" spans="1:26" ht="35.25">
      <c r="A15" s="252">
        <v>2</v>
      </c>
      <c r="B15" s="253" t="s">
        <v>1459</v>
      </c>
      <c r="C15" s="250"/>
      <c r="D15" s="254">
        <v>2</v>
      </c>
    </row>
    <row r="16" spans="1:26" ht="35.25">
      <c r="A16" s="252">
        <v>3</v>
      </c>
      <c r="B16" s="253" t="s">
        <v>202</v>
      </c>
      <c r="C16" s="250"/>
      <c r="D16" s="254">
        <v>3</v>
      </c>
    </row>
    <row r="17" spans="1:4" ht="35.25">
      <c r="A17" s="252">
        <v>4</v>
      </c>
      <c r="B17" s="253" t="s">
        <v>1460</v>
      </c>
      <c r="C17" s="250"/>
      <c r="D17" s="254">
        <v>4</v>
      </c>
    </row>
    <row r="18" spans="1:4" ht="35.25">
      <c r="A18" s="252">
        <v>5</v>
      </c>
      <c r="B18" s="253" t="s">
        <v>1461</v>
      </c>
      <c r="C18" s="250"/>
      <c r="D18" s="254">
        <v>5</v>
      </c>
    </row>
    <row r="19" spans="1:4" ht="35.25">
      <c r="A19" s="252">
        <v>6</v>
      </c>
      <c r="B19" s="253" t="s">
        <v>1462</v>
      </c>
      <c r="C19" s="250"/>
      <c r="D19" s="254">
        <v>6</v>
      </c>
    </row>
    <row r="20" spans="1:4" ht="35.25">
      <c r="A20" s="252">
        <v>7</v>
      </c>
      <c r="B20" s="253" t="s">
        <v>1463</v>
      </c>
      <c r="C20" s="250"/>
      <c r="D20" s="254">
        <v>7</v>
      </c>
    </row>
    <row r="21" spans="1:4" ht="35.25">
      <c r="A21" s="252">
        <v>8</v>
      </c>
      <c r="B21" s="253" t="s">
        <v>1464</v>
      </c>
      <c r="C21" s="250"/>
      <c r="D21" s="254">
        <v>8</v>
      </c>
    </row>
    <row r="27" spans="1:4" ht="26.25">
      <c r="B27" s="255" t="s">
        <v>1465</v>
      </c>
    </row>
    <row r="28" spans="1:4" ht="26.25">
      <c r="B28" s="255" t="s">
        <v>1466</v>
      </c>
      <c r="D28" s="34"/>
    </row>
    <row r="29" spans="1:4" ht="18">
      <c r="D29" s="34"/>
    </row>
    <row r="30" spans="1:4" ht="18">
      <c r="D30" s="34"/>
    </row>
    <row r="31" spans="1:4" ht="18">
      <c r="D31" s="34"/>
    </row>
    <row r="32" spans="1:4" ht="18">
      <c r="D32" s="34"/>
    </row>
    <row r="39" spans="2:5" ht="18">
      <c r="C39" s="34"/>
      <c r="D39" s="34" t="s">
        <v>1385</v>
      </c>
      <c r="E39" s="34"/>
    </row>
    <row r="40" spans="2:5" ht="34.5">
      <c r="B40" s="244">
        <v>10155</v>
      </c>
      <c r="C40" s="34">
        <f>B40*89.6</f>
        <v>909888</v>
      </c>
      <c r="D40" s="34">
        <f>C40*5/100</f>
        <v>45494.400000000001</v>
      </c>
      <c r="E40" s="34">
        <f>D40+C40</f>
        <v>955382.4</v>
      </c>
    </row>
    <row r="41" spans="2:5" ht="34.5">
      <c r="B41" s="244">
        <v>3360</v>
      </c>
      <c r="C41" s="34">
        <f>B41*4</f>
        <v>13440</v>
      </c>
      <c r="D41" s="34">
        <f>C41*5/100</f>
        <v>672</v>
      </c>
      <c r="E41" s="34">
        <f>D41+C41</f>
        <v>14112</v>
      </c>
    </row>
    <row r="62" spans="2:5" ht="27.75">
      <c r="B62" s="247" t="s">
        <v>1441</v>
      </c>
      <c r="C62" s="256" t="s">
        <v>1467</v>
      </c>
      <c r="D62" s="256" t="s">
        <v>1468</v>
      </c>
    </row>
    <row r="63" spans="2:5" ht="27.75">
      <c r="B63" s="247" t="s">
        <v>1444</v>
      </c>
      <c r="C63" s="256" t="s">
        <v>1043</v>
      </c>
      <c r="D63" s="256" t="s">
        <v>1469</v>
      </c>
      <c r="E63" s="248"/>
    </row>
    <row r="64" spans="2:5" ht="27.75">
      <c r="B64" s="247" t="s">
        <v>1445</v>
      </c>
      <c r="C64" s="256" t="s">
        <v>1071</v>
      </c>
      <c r="D64" s="256" t="s">
        <v>1468</v>
      </c>
    </row>
    <row r="65" spans="2:5" ht="27.75">
      <c r="B65" s="249" t="s">
        <v>1450</v>
      </c>
      <c r="C65" s="256" t="s">
        <v>699</v>
      </c>
      <c r="D65" s="256" t="s">
        <v>1470</v>
      </c>
    </row>
    <row r="66" spans="2:5" ht="27.75">
      <c r="B66" s="249" t="s">
        <v>1451</v>
      </c>
      <c r="C66" s="256" t="s">
        <v>1053</v>
      </c>
      <c r="D66" s="256" t="s">
        <v>1471</v>
      </c>
    </row>
    <row r="76" spans="2:5" ht="20.25">
      <c r="B76" s="247" t="s">
        <v>1441</v>
      </c>
      <c r="C76" s="247" t="s">
        <v>1442</v>
      </c>
      <c r="D76" s="247" t="s">
        <v>1472</v>
      </c>
      <c r="E76" s="247"/>
    </row>
    <row r="77" spans="2:5" ht="20.25">
      <c r="B77" s="247" t="s">
        <v>1444</v>
      </c>
      <c r="C77" s="247" t="s">
        <v>1043</v>
      </c>
      <c r="E77" s="248"/>
    </row>
    <row r="78" spans="2:5" ht="20.25">
      <c r="B78" s="247" t="s">
        <v>1445</v>
      </c>
      <c r="C78" s="247" t="s">
        <v>1446</v>
      </c>
    </row>
    <row r="79" spans="2:5" ht="20.25">
      <c r="B79" s="249" t="s">
        <v>1450</v>
      </c>
      <c r="C79" s="247" t="s">
        <v>699</v>
      </c>
    </row>
    <row r="80" spans="2:5" ht="20.25">
      <c r="B80" s="249" t="s">
        <v>1451</v>
      </c>
      <c r="C80" s="247" t="s">
        <v>1053</v>
      </c>
    </row>
    <row r="86" spans="2:4" ht="18">
      <c r="B86" s="269" t="s">
        <v>1441</v>
      </c>
      <c r="C86" s="269" t="s">
        <v>1473</v>
      </c>
      <c r="D86" s="269" t="s">
        <v>1474</v>
      </c>
    </row>
    <row r="87" spans="2:4" ht="18">
      <c r="B87" s="269" t="s">
        <v>1444</v>
      </c>
      <c r="C87" s="269" t="s">
        <v>1043</v>
      </c>
      <c r="D87" s="37"/>
    </row>
    <row r="88" spans="2:4" ht="18">
      <c r="B88" s="269" t="s">
        <v>1445</v>
      </c>
      <c r="C88" s="269" t="s">
        <v>1446</v>
      </c>
      <c r="D88" s="37"/>
    </row>
    <row r="89" spans="2:4" ht="18">
      <c r="B89" s="270" t="s">
        <v>1450</v>
      </c>
      <c r="C89" s="269">
        <v>99</v>
      </c>
      <c r="D89" s="37"/>
    </row>
    <row r="90" spans="2:4" ht="18">
      <c r="B90" s="270" t="s">
        <v>1451</v>
      </c>
      <c r="C90" s="269" t="s">
        <v>1053</v>
      </c>
      <c r="D90" s="37"/>
    </row>
  </sheetData>
  <pageMargins left="0.69930555555555596" right="0.69930555555555596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6"/>
  <sheetViews>
    <sheetView topLeftCell="A43" workbookViewId="0">
      <selection activeCell="A7" sqref="A7"/>
    </sheetView>
  </sheetViews>
  <sheetFormatPr defaultColWidth="9" defaultRowHeight="12.75"/>
  <cols>
    <col min="1" max="1" width="28.28515625" customWidth="1"/>
    <col min="2" max="2" width="5.5703125" customWidth="1"/>
    <col min="3" max="3" width="59.140625" customWidth="1"/>
    <col min="4" max="4" width="23.85546875" customWidth="1"/>
    <col min="5" max="5" width="22.5703125" customWidth="1"/>
    <col min="6" max="6" width="49.7109375" customWidth="1"/>
    <col min="7" max="7" width="17.140625" customWidth="1"/>
    <col min="8" max="8" width="15.140625" customWidth="1"/>
    <col min="9" max="9" width="21" customWidth="1"/>
    <col min="10" max="10" width="16.85546875" style="230" customWidth="1"/>
    <col min="11" max="11" width="10" customWidth="1"/>
  </cols>
  <sheetData>
    <row r="1" spans="1:11" ht="23.25">
      <c r="A1" s="231" t="s">
        <v>1233</v>
      </c>
      <c r="B1" s="231" t="s">
        <v>112</v>
      </c>
      <c r="C1" s="232" t="s">
        <v>690</v>
      </c>
      <c r="D1" s="231" t="s">
        <v>1475</v>
      </c>
      <c r="E1" s="231" t="s">
        <v>1236</v>
      </c>
      <c r="F1" s="231" t="s">
        <v>1237</v>
      </c>
      <c r="G1" s="231" t="s">
        <v>1238</v>
      </c>
      <c r="H1" s="231" t="s">
        <v>1239</v>
      </c>
      <c r="I1" s="231" t="s">
        <v>1240</v>
      </c>
      <c r="J1" s="232" t="s">
        <v>1241</v>
      </c>
      <c r="K1" s="232" t="s">
        <v>1234</v>
      </c>
    </row>
    <row r="2" spans="1:11" ht="26.25">
      <c r="A2" s="233" t="s">
        <v>1476</v>
      </c>
      <c r="B2" s="233">
        <v>1</v>
      </c>
      <c r="C2" s="233" t="s">
        <v>1477</v>
      </c>
      <c r="D2" s="233">
        <v>1</v>
      </c>
      <c r="E2" s="233" t="s">
        <v>1236</v>
      </c>
      <c r="F2" s="233" t="s">
        <v>1378</v>
      </c>
      <c r="G2" s="234">
        <v>45934</v>
      </c>
      <c r="H2" s="233" t="s">
        <v>1247</v>
      </c>
      <c r="I2" s="236" t="s">
        <v>1248</v>
      </c>
      <c r="J2" s="236" t="s">
        <v>1248</v>
      </c>
      <c r="K2" s="233"/>
    </row>
    <row r="3" spans="1:11" ht="21">
      <c r="A3" s="235" t="s">
        <v>1478</v>
      </c>
      <c r="B3" s="233">
        <v>2</v>
      </c>
      <c r="C3" s="233" t="s">
        <v>315</v>
      </c>
      <c r="D3" s="233">
        <v>10</v>
      </c>
      <c r="E3" s="233" t="s">
        <v>1236</v>
      </c>
      <c r="F3" s="233" t="s">
        <v>575</v>
      </c>
      <c r="G3" s="234">
        <v>45934</v>
      </c>
      <c r="H3" s="233" t="s">
        <v>1247</v>
      </c>
      <c r="I3" s="233" t="s">
        <v>1479</v>
      </c>
      <c r="J3" s="233">
        <v>8840</v>
      </c>
      <c r="K3" s="233"/>
    </row>
    <row r="4" spans="1:11" ht="21">
      <c r="A4" s="235" t="s">
        <v>1480</v>
      </c>
      <c r="B4" s="233">
        <v>3</v>
      </c>
      <c r="C4" s="233" t="s">
        <v>362</v>
      </c>
      <c r="D4" s="233">
        <v>84</v>
      </c>
      <c r="E4" s="233" t="s">
        <v>1236</v>
      </c>
      <c r="F4" s="233" t="s">
        <v>575</v>
      </c>
      <c r="G4" s="234">
        <v>45934</v>
      </c>
      <c r="H4" s="233" t="s">
        <v>1247</v>
      </c>
      <c r="I4" s="233" t="s">
        <v>1481</v>
      </c>
      <c r="J4" s="233">
        <v>8839</v>
      </c>
      <c r="K4" s="233"/>
    </row>
    <row r="5" spans="1:11" ht="26.25">
      <c r="A5" s="233" t="s">
        <v>1482</v>
      </c>
      <c r="B5" s="233">
        <v>4</v>
      </c>
      <c r="C5" s="233" t="s">
        <v>1483</v>
      </c>
      <c r="D5" s="233">
        <v>8</v>
      </c>
      <c r="E5" s="233" t="s">
        <v>1236</v>
      </c>
      <c r="F5" s="233" t="s">
        <v>1484</v>
      </c>
      <c r="G5" s="234">
        <v>45934</v>
      </c>
      <c r="H5" s="233" t="s">
        <v>1247</v>
      </c>
      <c r="I5" s="233" t="s">
        <v>571</v>
      </c>
      <c r="J5" s="236" t="s">
        <v>1248</v>
      </c>
      <c r="K5" s="233"/>
    </row>
    <row r="6" spans="1:11" ht="26.25">
      <c r="A6" s="233" t="s">
        <v>1485</v>
      </c>
      <c r="B6" s="233">
        <v>5</v>
      </c>
      <c r="C6" s="233" t="s">
        <v>1486</v>
      </c>
      <c r="D6" s="233">
        <v>1</v>
      </c>
      <c r="E6" s="233" t="s">
        <v>1236</v>
      </c>
      <c r="F6" s="233" t="s">
        <v>1484</v>
      </c>
      <c r="G6" s="234">
        <v>45938</v>
      </c>
      <c r="H6" s="233" t="s">
        <v>1247</v>
      </c>
      <c r="I6" s="236" t="s">
        <v>1248</v>
      </c>
      <c r="J6" s="236" t="s">
        <v>1248</v>
      </c>
      <c r="K6" s="233"/>
    </row>
    <row r="7" spans="1:11" ht="26.25">
      <c r="A7" s="233" t="s">
        <v>1487</v>
      </c>
      <c r="B7" s="233">
        <v>6</v>
      </c>
      <c r="C7" s="233" t="s">
        <v>166</v>
      </c>
      <c r="D7" s="233">
        <v>108</v>
      </c>
      <c r="E7" s="233" t="s">
        <v>1236</v>
      </c>
      <c r="F7" s="233" t="s">
        <v>166</v>
      </c>
      <c r="G7" s="234">
        <v>45938</v>
      </c>
      <c r="H7" s="236" t="s">
        <v>1248</v>
      </c>
      <c r="I7" s="233" t="s">
        <v>1362</v>
      </c>
      <c r="J7" s="236" t="s">
        <v>1248</v>
      </c>
      <c r="K7" s="233"/>
    </row>
    <row r="8" spans="1:11" ht="26.25">
      <c r="A8" s="233" t="s">
        <v>1488</v>
      </c>
      <c r="B8" s="233">
        <v>7</v>
      </c>
      <c r="C8" s="233" t="s">
        <v>166</v>
      </c>
      <c r="D8" s="233">
        <v>320</v>
      </c>
      <c r="E8" s="233" t="s">
        <v>1236</v>
      </c>
      <c r="F8" s="233" t="s">
        <v>166</v>
      </c>
      <c r="G8" s="234">
        <v>45939</v>
      </c>
      <c r="H8" s="236" t="s">
        <v>1248</v>
      </c>
      <c r="I8" s="233" t="s">
        <v>1362</v>
      </c>
      <c r="J8" s="236" t="s">
        <v>1248</v>
      </c>
      <c r="K8" s="233"/>
    </row>
    <row r="9" spans="1:11" ht="21">
      <c r="A9" s="235" t="s">
        <v>1489</v>
      </c>
      <c r="B9" s="233">
        <v>8</v>
      </c>
      <c r="C9" s="233" t="s">
        <v>1490</v>
      </c>
      <c r="D9" s="233">
        <v>1</v>
      </c>
      <c r="E9" s="233" t="s">
        <v>1236</v>
      </c>
      <c r="F9" s="233" t="s">
        <v>575</v>
      </c>
      <c r="G9" s="234">
        <v>45939</v>
      </c>
      <c r="H9" s="233" t="s">
        <v>1247</v>
      </c>
      <c r="I9" s="233" t="s">
        <v>1491</v>
      </c>
      <c r="J9" s="233">
        <v>8852</v>
      </c>
      <c r="K9" s="233"/>
    </row>
    <row r="10" spans="1:11" ht="26.25">
      <c r="A10" s="233" t="s">
        <v>1492</v>
      </c>
      <c r="B10" s="233">
        <v>9</v>
      </c>
      <c r="C10" s="233" t="s">
        <v>141</v>
      </c>
      <c r="D10" s="233">
        <v>10</v>
      </c>
      <c r="E10" s="233" t="s">
        <v>1236</v>
      </c>
      <c r="F10" s="233" t="s">
        <v>1378</v>
      </c>
      <c r="G10" s="234">
        <v>45940</v>
      </c>
      <c r="H10" s="233" t="s">
        <v>1247</v>
      </c>
      <c r="I10" s="233" t="s">
        <v>558</v>
      </c>
      <c r="J10" s="236" t="s">
        <v>1248</v>
      </c>
      <c r="K10" s="233"/>
    </row>
    <row r="11" spans="1:11" ht="20.25">
      <c r="A11" s="233" t="s">
        <v>1493</v>
      </c>
      <c r="B11" s="233">
        <v>10</v>
      </c>
      <c r="C11" s="233" t="s">
        <v>762</v>
      </c>
      <c r="D11" s="233">
        <v>491</v>
      </c>
      <c r="E11" s="233" t="s">
        <v>1236</v>
      </c>
      <c r="F11" s="233" t="s">
        <v>561</v>
      </c>
      <c r="G11" s="234">
        <v>45941</v>
      </c>
      <c r="H11" s="233" t="s">
        <v>1247</v>
      </c>
      <c r="I11" s="233" t="s">
        <v>563</v>
      </c>
      <c r="J11" s="233">
        <v>64556</v>
      </c>
      <c r="K11" s="233"/>
    </row>
    <row r="12" spans="1:11" ht="20.25">
      <c r="A12" s="233" t="s">
        <v>1494</v>
      </c>
      <c r="B12" s="233">
        <v>11</v>
      </c>
      <c r="C12" s="233" t="s">
        <v>762</v>
      </c>
      <c r="D12" s="233">
        <v>11</v>
      </c>
      <c r="E12" s="233" t="s">
        <v>1236</v>
      </c>
      <c r="F12" s="233" t="s">
        <v>561</v>
      </c>
      <c r="G12" s="234">
        <v>45941</v>
      </c>
      <c r="H12" s="233" t="s">
        <v>1247</v>
      </c>
      <c r="I12" s="233" t="s">
        <v>563</v>
      </c>
      <c r="J12" s="233">
        <v>64556</v>
      </c>
      <c r="K12" s="233"/>
    </row>
    <row r="13" spans="1:11" ht="20.25">
      <c r="A13" s="233" t="s">
        <v>1495</v>
      </c>
      <c r="B13" s="233">
        <v>12</v>
      </c>
      <c r="C13" s="233" t="s">
        <v>762</v>
      </c>
      <c r="D13" s="233">
        <f>945+20</f>
        <v>965</v>
      </c>
      <c r="E13" s="233" t="s">
        <v>1236</v>
      </c>
      <c r="F13" s="233" t="s">
        <v>561</v>
      </c>
      <c r="G13" s="234">
        <v>45941</v>
      </c>
      <c r="H13" s="233" t="s">
        <v>1247</v>
      </c>
      <c r="I13" s="233" t="s">
        <v>1496</v>
      </c>
      <c r="J13" s="233">
        <v>64555</v>
      </c>
      <c r="K13" s="233"/>
    </row>
    <row r="14" spans="1:11" ht="21">
      <c r="A14" s="235" t="s">
        <v>1497</v>
      </c>
      <c r="B14" s="233">
        <v>13</v>
      </c>
      <c r="C14" s="233" t="s">
        <v>366</v>
      </c>
      <c r="D14" s="233">
        <v>23</v>
      </c>
      <c r="E14" s="233" t="s">
        <v>1236</v>
      </c>
      <c r="F14" s="233" t="s">
        <v>575</v>
      </c>
      <c r="G14" s="234">
        <v>45941</v>
      </c>
      <c r="H14" s="233" t="s">
        <v>1248</v>
      </c>
      <c r="I14" s="233" t="s">
        <v>1498</v>
      </c>
      <c r="J14" s="233">
        <v>8856</v>
      </c>
      <c r="K14" s="233"/>
    </row>
    <row r="15" spans="1:11" ht="21">
      <c r="A15" s="235" t="s">
        <v>1499</v>
      </c>
      <c r="B15" s="233">
        <v>14</v>
      </c>
      <c r="C15" s="233" t="s">
        <v>1500</v>
      </c>
      <c r="D15" s="233">
        <v>11</v>
      </c>
      <c r="E15" s="233" t="s">
        <v>1236</v>
      </c>
      <c r="F15" s="233" t="s">
        <v>575</v>
      </c>
      <c r="G15" s="234">
        <v>45944</v>
      </c>
      <c r="H15" s="233" t="s">
        <v>1247</v>
      </c>
      <c r="I15" s="233" t="s">
        <v>1501</v>
      </c>
      <c r="J15" s="233">
        <v>8859</v>
      </c>
      <c r="K15" s="233"/>
    </row>
    <row r="16" spans="1:11" ht="21">
      <c r="A16" s="235" t="s">
        <v>1502</v>
      </c>
      <c r="B16" s="233">
        <v>15</v>
      </c>
      <c r="C16" s="233" t="s">
        <v>217</v>
      </c>
      <c r="D16" s="233">
        <v>4</v>
      </c>
      <c r="E16" s="237" t="s">
        <v>1503</v>
      </c>
      <c r="F16" s="233" t="s">
        <v>1504</v>
      </c>
      <c r="G16" s="234">
        <v>45945</v>
      </c>
      <c r="H16" s="233" t="s">
        <v>1247</v>
      </c>
      <c r="I16" s="233" t="s">
        <v>588</v>
      </c>
      <c r="J16" s="233">
        <v>7248</v>
      </c>
      <c r="K16" s="233"/>
    </row>
    <row r="17" spans="1:11" ht="21">
      <c r="A17" s="235" t="s">
        <v>1505</v>
      </c>
      <c r="B17" s="233">
        <v>16</v>
      </c>
      <c r="C17" s="233" t="s">
        <v>1506</v>
      </c>
      <c r="D17" s="233">
        <v>7</v>
      </c>
      <c r="E17" s="233" t="s">
        <v>1236</v>
      </c>
      <c r="F17" s="233" t="s">
        <v>1507</v>
      </c>
      <c r="G17" s="234">
        <v>45946</v>
      </c>
      <c r="H17" s="233" t="s">
        <v>1248</v>
      </c>
      <c r="I17" s="233" t="s">
        <v>547</v>
      </c>
      <c r="J17" s="233" t="s">
        <v>1248</v>
      </c>
      <c r="K17" s="233"/>
    </row>
    <row r="18" spans="1:11" ht="21">
      <c r="A18" s="235" t="s">
        <v>1508</v>
      </c>
      <c r="B18" s="233">
        <v>17</v>
      </c>
      <c r="C18" s="233" t="s">
        <v>453</v>
      </c>
      <c r="D18" s="233">
        <v>14</v>
      </c>
      <c r="E18" s="233" t="s">
        <v>1236</v>
      </c>
      <c r="F18" s="233" t="s">
        <v>1259</v>
      </c>
      <c r="G18" s="234">
        <v>45947</v>
      </c>
      <c r="H18" s="233" t="s">
        <v>1248</v>
      </c>
      <c r="I18" s="233" t="s">
        <v>640</v>
      </c>
      <c r="J18" s="233" t="s">
        <v>1248</v>
      </c>
      <c r="K18" s="233"/>
    </row>
    <row r="19" spans="1:11" ht="21">
      <c r="A19" s="235" t="s">
        <v>1509</v>
      </c>
      <c r="B19" s="233">
        <v>18</v>
      </c>
      <c r="C19" s="233" t="s">
        <v>262</v>
      </c>
      <c r="D19" s="233">
        <v>28</v>
      </c>
      <c r="E19" s="233" t="s">
        <v>1236</v>
      </c>
      <c r="F19" s="233" t="s">
        <v>1510</v>
      </c>
      <c r="G19" s="234">
        <v>45948</v>
      </c>
      <c r="H19" s="233" t="s">
        <v>1247</v>
      </c>
      <c r="I19" s="233" t="s">
        <v>637</v>
      </c>
      <c r="J19" s="233" t="s">
        <v>1511</v>
      </c>
      <c r="K19" s="233"/>
    </row>
    <row r="20" spans="1:11" ht="21">
      <c r="A20" s="235" t="s">
        <v>1512</v>
      </c>
      <c r="B20" s="233">
        <v>18</v>
      </c>
      <c r="C20" s="233" t="s">
        <v>345</v>
      </c>
      <c r="D20" s="233">
        <v>30</v>
      </c>
      <c r="E20" s="233" t="s">
        <v>1236</v>
      </c>
      <c r="F20" s="233" t="s">
        <v>1510</v>
      </c>
      <c r="G20" s="234">
        <v>45948</v>
      </c>
      <c r="H20" s="233" t="s">
        <v>1247</v>
      </c>
      <c r="I20" s="233" t="s">
        <v>637</v>
      </c>
      <c r="J20" s="233" t="s">
        <v>1513</v>
      </c>
      <c r="K20" s="233"/>
    </row>
    <row r="21" spans="1:11" ht="21">
      <c r="A21" s="235" t="s">
        <v>1514</v>
      </c>
      <c r="B21" s="233">
        <v>19</v>
      </c>
      <c r="C21" s="233" t="s">
        <v>357</v>
      </c>
      <c r="D21" s="233">
        <v>1</v>
      </c>
      <c r="E21" s="233" t="s">
        <v>1236</v>
      </c>
      <c r="F21" s="233" t="s">
        <v>1515</v>
      </c>
      <c r="G21" s="234">
        <v>45955</v>
      </c>
      <c r="H21" s="233" t="s">
        <v>1248</v>
      </c>
      <c r="I21" s="233" t="s">
        <v>1248</v>
      </c>
      <c r="J21" s="233" t="s">
        <v>1248</v>
      </c>
      <c r="K21" s="233"/>
    </row>
    <row r="22" spans="1:11" ht="21">
      <c r="A22" s="235" t="s">
        <v>1516</v>
      </c>
      <c r="B22" s="233">
        <f t="shared" ref="B22:B34" si="0">B21+1</f>
        <v>20</v>
      </c>
      <c r="C22" s="233" t="s">
        <v>1517</v>
      </c>
      <c r="D22" s="233">
        <v>11</v>
      </c>
      <c r="E22" s="233" t="s">
        <v>1236</v>
      </c>
      <c r="F22" s="233" t="s">
        <v>575</v>
      </c>
      <c r="G22" s="238">
        <v>45961</v>
      </c>
      <c r="H22" s="233" t="s">
        <v>1247</v>
      </c>
      <c r="I22" s="233" t="s">
        <v>1518</v>
      </c>
      <c r="J22" s="233">
        <v>8898</v>
      </c>
      <c r="K22" s="233"/>
    </row>
    <row r="23" spans="1:11" ht="20.25">
      <c r="A23" s="233" t="s">
        <v>1519</v>
      </c>
      <c r="B23" s="233">
        <f t="shared" si="0"/>
        <v>21</v>
      </c>
      <c r="C23" s="233" t="s">
        <v>166</v>
      </c>
      <c r="D23" s="233">
        <v>68</v>
      </c>
      <c r="E23" s="233" t="s">
        <v>1236</v>
      </c>
      <c r="F23" s="233" t="s">
        <v>166</v>
      </c>
      <c r="G23" s="234">
        <v>45962</v>
      </c>
      <c r="H23" s="233" t="s">
        <v>1248</v>
      </c>
      <c r="I23" s="233" t="s">
        <v>1362</v>
      </c>
      <c r="J23" s="233" t="s">
        <v>1248</v>
      </c>
      <c r="K23" s="233"/>
    </row>
    <row r="24" spans="1:11" ht="20.25">
      <c r="A24" s="233" t="s">
        <v>1520</v>
      </c>
      <c r="B24" s="233">
        <f t="shared" si="0"/>
        <v>22</v>
      </c>
      <c r="C24" s="233" t="s">
        <v>221</v>
      </c>
      <c r="D24" s="233">
        <v>155</v>
      </c>
      <c r="E24" s="233" t="s">
        <v>1236</v>
      </c>
      <c r="F24" s="233" t="s">
        <v>1521</v>
      </c>
      <c r="G24" s="234">
        <v>45962</v>
      </c>
      <c r="H24" s="233" t="s">
        <v>1247</v>
      </c>
      <c r="I24" s="233" t="s">
        <v>1522</v>
      </c>
      <c r="J24" s="233">
        <v>149088</v>
      </c>
      <c r="K24" s="233"/>
    </row>
    <row r="25" spans="1:11" ht="21">
      <c r="A25" s="235" t="s">
        <v>1523</v>
      </c>
      <c r="B25" s="233">
        <f t="shared" si="0"/>
        <v>23</v>
      </c>
      <c r="C25" s="233" t="s">
        <v>315</v>
      </c>
      <c r="D25" s="233">
        <v>9</v>
      </c>
      <c r="E25" s="233" t="s">
        <v>1236</v>
      </c>
      <c r="F25" s="233" t="s">
        <v>575</v>
      </c>
      <c r="G25" s="234">
        <v>45966</v>
      </c>
      <c r="H25" s="233" t="s">
        <v>1247</v>
      </c>
      <c r="I25" s="233" t="s">
        <v>1491</v>
      </c>
      <c r="J25" s="233">
        <v>8911</v>
      </c>
      <c r="K25" s="233"/>
    </row>
    <row r="26" spans="1:11" ht="20.25">
      <c r="A26" s="233" t="s">
        <v>1524</v>
      </c>
      <c r="B26" s="233">
        <f t="shared" si="0"/>
        <v>24</v>
      </c>
      <c r="C26" s="233" t="s">
        <v>136</v>
      </c>
      <c r="D26" s="233">
        <v>956</v>
      </c>
      <c r="E26" s="233" t="s">
        <v>1236</v>
      </c>
      <c r="F26" s="233" t="s">
        <v>561</v>
      </c>
      <c r="G26" s="234">
        <v>45967</v>
      </c>
      <c r="H26" s="233" t="s">
        <v>1247</v>
      </c>
      <c r="I26" s="233" t="s">
        <v>563</v>
      </c>
      <c r="J26" s="233">
        <v>64869</v>
      </c>
      <c r="K26" s="233"/>
    </row>
    <row r="27" spans="1:11" ht="20.25">
      <c r="A27" s="233" t="s">
        <v>1525</v>
      </c>
      <c r="B27" s="233">
        <f t="shared" si="0"/>
        <v>25</v>
      </c>
      <c r="C27" s="233" t="s">
        <v>136</v>
      </c>
      <c r="D27" s="233">
        <v>10</v>
      </c>
      <c r="E27" s="233" t="s">
        <v>1236</v>
      </c>
      <c r="F27" s="233" t="s">
        <v>561</v>
      </c>
      <c r="G27" s="234">
        <v>45967</v>
      </c>
      <c r="H27" s="233" t="s">
        <v>1247</v>
      </c>
      <c r="I27" s="233" t="s">
        <v>563</v>
      </c>
      <c r="J27" s="233">
        <v>64869</v>
      </c>
      <c r="K27" s="233"/>
    </row>
    <row r="28" spans="1:11" ht="20.25">
      <c r="A28" s="233" t="s">
        <v>1526</v>
      </c>
      <c r="B28" s="233">
        <f t="shared" si="0"/>
        <v>26</v>
      </c>
      <c r="C28" s="233" t="s">
        <v>136</v>
      </c>
      <c r="D28" s="233">
        <v>20</v>
      </c>
      <c r="E28" s="233" t="s">
        <v>1236</v>
      </c>
      <c r="F28" s="233" t="s">
        <v>561</v>
      </c>
      <c r="G28" s="234">
        <v>45967</v>
      </c>
      <c r="H28" s="233" t="s">
        <v>1247</v>
      </c>
      <c r="I28" s="233" t="s">
        <v>1496</v>
      </c>
      <c r="J28" s="233">
        <v>64868</v>
      </c>
      <c r="K28" s="233"/>
    </row>
    <row r="29" spans="1:11" ht="20.25">
      <c r="A29" s="233" t="s">
        <v>1527</v>
      </c>
      <c r="B29" s="233">
        <f t="shared" si="0"/>
        <v>27</v>
      </c>
      <c r="C29" s="233" t="s">
        <v>136</v>
      </c>
      <c r="D29" s="233">
        <v>183</v>
      </c>
      <c r="E29" s="233" t="s">
        <v>1236</v>
      </c>
      <c r="F29" s="233" t="s">
        <v>561</v>
      </c>
      <c r="G29" s="234">
        <v>45967</v>
      </c>
      <c r="H29" s="233" t="s">
        <v>1247</v>
      </c>
      <c r="I29" s="233" t="s">
        <v>1496</v>
      </c>
      <c r="J29" s="233" t="s">
        <v>1528</v>
      </c>
      <c r="K29" s="233"/>
    </row>
    <row r="30" spans="1:11" ht="20.25">
      <c r="A30" s="233" t="s">
        <v>1529</v>
      </c>
      <c r="B30" s="233">
        <f t="shared" si="0"/>
        <v>28</v>
      </c>
      <c r="C30" s="233" t="s">
        <v>136</v>
      </c>
      <c r="D30" s="233">
        <f>275+21</f>
        <v>296</v>
      </c>
      <c r="E30" s="233" t="s">
        <v>1236</v>
      </c>
      <c r="F30" s="233" t="s">
        <v>561</v>
      </c>
      <c r="G30" s="234">
        <v>45967</v>
      </c>
      <c r="H30" s="233" t="s">
        <v>1247</v>
      </c>
      <c r="I30" s="233" t="s">
        <v>1496</v>
      </c>
      <c r="J30" s="233">
        <v>64868</v>
      </c>
      <c r="K30" s="233"/>
    </row>
    <row r="31" spans="1:11" ht="21">
      <c r="A31" s="235" t="s">
        <v>1530</v>
      </c>
      <c r="B31" s="233">
        <f t="shared" si="0"/>
        <v>29</v>
      </c>
      <c r="C31" s="233" t="s">
        <v>1531</v>
      </c>
      <c r="D31" s="233">
        <v>7</v>
      </c>
      <c r="E31" s="233" t="s">
        <v>1236</v>
      </c>
      <c r="F31" s="233" t="s">
        <v>575</v>
      </c>
      <c r="G31" s="234">
        <v>45967</v>
      </c>
      <c r="H31" s="233" t="s">
        <v>1247</v>
      </c>
      <c r="I31" s="233" t="s">
        <v>1532</v>
      </c>
      <c r="J31" s="233" t="s">
        <v>1533</v>
      </c>
      <c r="K31" s="233"/>
    </row>
    <row r="32" spans="1:11" ht="20.25">
      <c r="A32" s="233" t="s">
        <v>1534</v>
      </c>
      <c r="B32" s="233">
        <f t="shared" si="0"/>
        <v>30</v>
      </c>
      <c r="C32" s="233" t="s">
        <v>221</v>
      </c>
      <c r="D32" s="233">
        <v>91</v>
      </c>
      <c r="E32" s="233" t="s">
        <v>1236</v>
      </c>
      <c r="F32" s="233" t="s">
        <v>1521</v>
      </c>
      <c r="G32" s="234">
        <v>45969</v>
      </c>
      <c r="H32" s="233" t="s">
        <v>1247</v>
      </c>
      <c r="I32" s="233" t="s">
        <v>1535</v>
      </c>
      <c r="J32" s="233">
        <v>149098</v>
      </c>
      <c r="K32" s="233"/>
    </row>
    <row r="33" spans="1:11" ht="21">
      <c r="A33" s="235" t="s">
        <v>1536</v>
      </c>
      <c r="B33" s="233">
        <f t="shared" si="0"/>
        <v>31</v>
      </c>
      <c r="C33" s="233" t="s">
        <v>868</v>
      </c>
      <c r="D33" s="233">
        <v>29</v>
      </c>
      <c r="E33" s="233" t="s">
        <v>1236</v>
      </c>
      <c r="F33" s="233" t="s">
        <v>575</v>
      </c>
      <c r="G33" s="234">
        <v>45975</v>
      </c>
      <c r="H33" s="233"/>
      <c r="I33" s="233" t="s">
        <v>1537</v>
      </c>
      <c r="J33" s="233">
        <v>8939</v>
      </c>
      <c r="K33" s="233"/>
    </row>
    <row r="34" spans="1:11" ht="21">
      <c r="A34" s="235" t="s">
        <v>1538</v>
      </c>
      <c r="B34" s="233">
        <f t="shared" si="0"/>
        <v>32</v>
      </c>
      <c r="C34" s="233" t="s">
        <v>315</v>
      </c>
      <c r="D34" s="233">
        <v>5</v>
      </c>
      <c r="E34" s="233" t="s">
        <v>1236</v>
      </c>
      <c r="F34" s="233" t="s">
        <v>575</v>
      </c>
      <c r="G34" s="234">
        <v>45976</v>
      </c>
      <c r="H34" s="233" t="s">
        <v>1247</v>
      </c>
      <c r="I34" s="233" t="s">
        <v>1539</v>
      </c>
      <c r="J34" s="233">
        <v>8944</v>
      </c>
      <c r="K34" s="233"/>
    </row>
    <row r="35" spans="1:11" ht="20.25">
      <c r="A35" s="233" t="s">
        <v>1540</v>
      </c>
      <c r="B35" s="233"/>
      <c r="C35" s="233" t="s">
        <v>1541</v>
      </c>
      <c r="D35" s="233">
        <v>12</v>
      </c>
      <c r="E35" s="233" t="s">
        <v>1236</v>
      </c>
      <c r="F35" s="233" t="s">
        <v>1378</v>
      </c>
      <c r="G35" s="234">
        <v>45974</v>
      </c>
      <c r="H35" s="233" t="s">
        <v>1247</v>
      </c>
      <c r="I35" s="233" t="s">
        <v>559</v>
      </c>
      <c r="J35" s="233" t="s">
        <v>1248</v>
      </c>
      <c r="K35" s="233"/>
    </row>
    <row r="36" spans="1:11" ht="20.25">
      <c r="A36" s="233" t="s">
        <v>1542</v>
      </c>
      <c r="B36" s="233"/>
      <c r="C36" s="233" t="s">
        <v>1310</v>
      </c>
      <c r="D36" s="233">
        <v>1</v>
      </c>
      <c r="E36" s="233" t="s">
        <v>1236</v>
      </c>
      <c r="F36" s="233" t="s">
        <v>1378</v>
      </c>
      <c r="G36" s="234">
        <v>45976</v>
      </c>
      <c r="H36" s="233" t="s">
        <v>1248</v>
      </c>
      <c r="I36" s="233" t="s">
        <v>1248</v>
      </c>
      <c r="J36" s="233" t="s">
        <v>1248</v>
      </c>
      <c r="K36" s="233"/>
    </row>
    <row r="37" spans="1:11" ht="20.25">
      <c r="A37" s="233" t="s">
        <v>1543</v>
      </c>
      <c r="B37" s="233"/>
      <c r="C37" s="233" t="s">
        <v>221</v>
      </c>
      <c r="D37" s="233">
        <v>39</v>
      </c>
      <c r="E37" s="233" t="s">
        <v>1236</v>
      </c>
      <c r="F37" s="233" t="s">
        <v>1521</v>
      </c>
      <c r="G37" s="234">
        <v>45980</v>
      </c>
      <c r="H37" s="233" t="s">
        <v>1247</v>
      </c>
      <c r="I37" s="233" t="s">
        <v>1544</v>
      </c>
      <c r="J37" s="233">
        <v>149097</v>
      </c>
      <c r="K37" s="233"/>
    </row>
    <row r="38" spans="1:11" ht="20.25">
      <c r="A38" s="233" t="s">
        <v>1545</v>
      </c>
      <c r="B38" s="233"/>
      <c r="C38" s="233" t="s">
        <v>166</v>
      </c>
      <c r="D38" s="233">
        <v>83</v>
      </c>
      <c r="E38" s="233" t="s">
        <v>1236</v>
      </c>
      <c r="F38" s="233" t="s">
        <v>575</v>
      </c>
      <c r="G38" s="234">
        <v>45985</v>
      </c>
      <c r="H38" s="233" t="s">
        <v>1247</v>
      </c>
      <c r="I38" s="233" t="s">
        <v>1546</v>
      </c>
      <c r="J38" s="233">
        <v>8968</v>
      </c>
      <c r="K38" s="233"/>
    </row>
    <row r="39" spans="1:11" ht="20.25">
      <c r="A39" s="233" t="s">
        <v>1547</v>
      </c>
      <c r="B39" s="233"/>
      <c r="C39" s="233" t="s">
        <v>117</v>
      </c>
      <c r="D39" s="233">
        <v>250</v>
      </c>
      <c r="E39" s="233" t="s">
        <v>1236</v>
      </c>
      <c r="F39" s="233" t="s">
        <v>575</v>
      </c>
      <c r="G39" s="234">
        <v>45985</v>
      </c>
      <c r="H39" s="233" t="s">
        <v>1247</v>
      </c>
      <c r="I39" s="233" t="s">
        <v>1548</v>
      </c>
      <c r="J39" s="233">
        <v>8969</v>
      </c>
      <c r="K39" s="233"/>
    </row>
    <row r="40" spans="1:11" ht="20.25">
      <c r="A40" s="233" t="s">
        <v>1549</v>
      </c>
      <c r="B40" s="233"/>
      <c r="C40" s="233" t="s">
        <v>796</v>
      </c>
      <c r="D40" s="233">
        <v>6</v>
      </c>
      <c r="E40" s="233" t="s">
        <v>1236</v>
      </c>
      <c r="F40" s="233" t="s">
        <v>1322</v>
      </c>
      <c r="G40" s="234">
        <v>45987</v>
      </c>
      <c r="H40" s="233" t="s">
        <v>1247</v>
      </c>
      <c r="I40" s="233" t="s">
        <v>571</v>
      </c>
      <c r="J40" s="233" t="s">
        <v>1248</v>
      </c>
      <c r="K40" s="233"/>
    </row>
    <row r="41" spans="1:11" ht="21">
      <c r="A41" s="235" t="s">
        <v>1550</v>
      </c>
      <c r="B41" s="233"/>
      <c r="C41" s="233" t="s">
        <v>217</v>
      </c>
      <c r="D41" s="233">
        <v>5</v>
      </c>
      <c r="E41" s="237" t="s">
        <v>1503</v>
      </c>
      <c r="F41" s="233" t="s">
        <v>586</v>
      </c>
      <c r="G41" s="234">
        <v>45980</v>
      </c>
      <c r="H41" s="233" t="s">
        <v>1247</v>
      </c>
      <c r="I41" s="233" t="s">
        <v>1551</v>
      </c>
      <c r="J41" s="233">
        <v>7272</v>
      </c>
      <c r="K41" s="233"/>
    </row>
    <row r="42" spans="1:11" ht="21">
      <c r="A42" s="235" t="s">
        <v>1552</v>
      </c>
      <c r="B42" s="233"/>
      <c r="C42" s="233" t="s">
        <v>366</v>
      </c>
      <c r="D42" s="233">
        <v>60</v>
      </c>
      <c r="E42" s="233" t="s">
        <v>1236</v>
      </c>
      <c r="F42" s="233" t="s">
        <v>575</v>
      </c>
      <c r="G42" s="234">
        <v>45983</v>
      </c>
      <c r="H42" s="233" t="s">
        <v>1247</v>
      </c>
      <c r="I42" s="233" t="s">
        <v>1553</v>
      </c>
      <c r="J42" s="233">
        <v>8962</v>
      </c>
      <c r="K42" s="233"/>
    </row>
    <row r="43" spans="1:11" ht="21">
      <c r="A43" s="235" t="s">
        <v>1554</v>
      </c>
      <c r="B43" s="233"/>
      <c r="C43" s="233" t="s">
        <v>419</v>
      </c>
      <c r="D43" s="233">
        <v>44</v>
      </c>
      <c r="E43" s="233" t="s">
        <v>1236</v>
      </c>
      <c r="F43" s="233" t="s">
        <v>575</v>
      </c>
      <c r="G43" s="234">
        <v>45985</v>
      </c>
      <c r="H43" s="233" t="s">
        <v>1247</v>
      </c>
      <c r="I43" s="233" t="s">
        <v>1555</v>
      </c>
      <c r="J43" s="233">
        <v>8970</v>
      </c>
      <c r="K43" s="233"/>
    </row>
    <row r="44" spans="1:11" ht="21">
      <c r="A44" s="235" t="s">
        <v>1556</v>
      </c>
      <c r="B44" s="233"/>
      <c r="C44" s="233" t="s">
        <v>277</v>
      </c>
      <c r="D44" s="233">
        <v>4</v>
      </c>
      <c r="E44" s="233" t="s">
        <v>1236</v>
      </c>
      <c r="F44" s="233" t="s">
        <v>1515</v>
      </c>
      <c r="G44" s="234">
        <v>45987</v>
      </c>
      <c r="H44" s="233" t="s">
        <v>1248</v>
      </c>
      <c r="I44" s="233" t="s">
        <v>553</v>
      </c>
      <c r="J44" s="233" t="s">
        <v>1248</v>
      </c>
      <c r="K44" s="233"/>
    </row>
    <row r="45" spans="1:11" ht="21">
      <c r="A45" s="235" t="s">
        <v>1557</v>
      </c>
      <c r="B45" s="233"/>
      <c r="C45" s="233" t="s">
        <v>1558</v>
      </c>
      <c r="D45" s="233">
        <v>6</v>
      </c>
      <c r="E45" s="233" t="s">
        <v>1236</v>
      </c>
      <c r="F45" s="233" t="s">
        <v>1515</v>
      </c>
      <c r="G45" s="234">
        <v>45989</v>
      </c>
      <c r="H45" s="233" t="s">
        <v>1248</v>
      </c>
      <c r="I45" s="233" t="s">
        <v>553</v>
      </c>
      <c r="J45" s="233" t="s">
        <v>1248</v>
      </c>
      <c r="K45" s="233"/>
    </row>
    <row r="46" spans="1:11" ht="20.25">
      <c r="A46" s="233" t="s">
        <v>1559</v>
      </c>
      <c r="B46" s="233"/>
      <c r="C46" s="233" t="s">
        <v>1560</v>
      </c>
      <c r="D46" s="233">
        <v>4</v>
      </c>
      <c r="E46" s="233" t="s">
        <v>1236</v>
      </c>
      <c r="F46" s="233" t="s">
        <v>1484</v>
      </c>
      <c r="G46" s="234">
        <v>45992</v>
      </c>
      <c r="H46" s="233" t="s">
        <v>1248</v>
      </c>
      <c r="I46" s="233" t="s">
        <v>571</v>
      </c>
      <c r="J46" s="233" t="s">
        <v>1248</v>
      </c>
      <c r="K46" s="233"/>
    </row>
    <row r="47" spans="1:11" ht="21">
      <c r="A47" s="235" t="s">
        <v>1561</v>
      </c>
      <c r="B47" s="233"/>
      <c r="C47" s="233" t="s">
        <v>1562</v>
      </c>
      <c r="D47" s="233">
        <v>1</v>
      </c>
      <c r="E47" s="233" t="s">
        <v>1236</v>
      </c>
      <c r="F47" s="233" t="s">
        <v>1515</v>
      </c>
      <c r="G47" s="234">
        <v>45995</v>
      </c>
      <c r="H47" s="233" t="s">
        <v>1248</v>
      </c>
      <c r="I47" s="233" t="s">
        <v>553</v>
      </c>
      <c r="J47" s="233"/>
      <c r="K47" s="233"/>
    </row>
    <row r="48" spans="1:11" ht="21">
      <c r="A48" s="235" t="s">
        <v>1563</v>
      </c>
      <c r="B48" s="233"/>
      <c r="C48" s="233" t="s">
        <v>362</v>
      </c>
      <c r="D48" s="233">
        <v>56</v>
      </c>
      <c r="E48" s="233" t="s">
        <v>1236</v>
      </c>
      <c r="F48" s="233" t="s">
        <v>575</v>
      </c>
      <c r="G48" s="234">
        <v>45996</v>
      </c>
      <c r="H48" s="233" t="s">
        <v>1247</v>
      </c>
      <c r="I48" s="233" t="s">
        <v>1564</v>
      </c>
      <c r="J48" s="233">
        <v>9002</v>
      </c>
      <c r="K48" s="233"/>
    </row>
    <row r="49" spans="1:11" ht="21">
      <c r="A49" s="235" t="s">
        <v>1565</v>
      </c>
      <c r="B49" s="233"/>
      <c r="C49" s="233" t="s">
        <v>868</v>
      </c>
      <c r="D49" s="239">
        <v>13</v>
      </c>
      <c r="E49" s="233" t="s">
        <v>1236</v>
      </c>
      <c r="F49" s="233" t="s">
        <v>575</v>
      </c>
      <c r="G49" s="234">
        <v>45996</v>
      </c>
      <c r="H49" s="233" t="s">
        <v>1247</v>
      </c>
      <c r="I49" s="233" t="s">
        <v>1564</v>
      </c>
      <c r="J49" s="233">
        <v>9002</v>
      </c>
      <c r="K49" s="233"/>
    </row>
    <row r="50" spans="1:11">
      <c r="A50" s="240"/>
    </row>
    <row r="51" spans="1:11" ht="20.25">
      <c r="A51" s="233"/>
      <c r="B51" s="233"/>
      <c r="C51" s="233"/>
      <c r="D51" s="233"/>
      <c r="E51" s="233"/>
      <c r="F51" s="233"/>
      <c r="G51" s="234"/>
      <c r="H51" s="233"/>
    </row>
    <row r="52" spans="1:11" ht="20.25">
      <c r="A52" s="233"/>
      <c r="B52" s="233"/>
      <c r="C52" s="233"/>
      <c r="D52" s="233"/>
      <c r="E52" s="233"/>
      <c r="F52" s="233"/>
      <c r="G52" s="233"/>
      <c r="H52" s="233"/>
      <c r="I52" s="233"/>
      <c r="J52" s="233"/>
      <c r="K52" s="233"/>
    </row>
    <row r="53" spans="1:11" ht="20.25">
      <c r="A53" s="233"/>
      <c r="B53" s="233"/>
      <c r="C53" s="233"/>
      <c r="D53" s="233"/>
      <c r="E53" s="233"/>
      <c r="F53" s="233"/>
      <c r="G53" s="233"/>
      <c r="H53" s="233"/>
      <c r="I53" s="233"/>
      <c r="J53" s="233"/>
      <c r="K53" s="233"/>
    </row>
    <row r="54" spans="1:11" ht="20.25">
      <c r="A54" s="233"/>
      <c r="B54" s="233"/>
      <c r="C54" s="233"/>
      <c r="D54" s="233"/>
      <c r="E54" s="233"/>
      <c r="F54" s="233"/>
      <c r="G54" s="233"/>
      <c r="H54" s="233"/>
      <c r="I54" s="233"/>
      <c r="J54" s="233"/>
      <c r="K54" s="233"/>
    </row>
    <row r="55" spans="1:11" ht="20.25">
      <c r="A55" s="233"/>
      <c r="B55" s="233"/>
      <c r="C55" s="233"/>
      <c r="D55" s="233"/>
      <c r="E55" s="233"/>
      <c r="F55" s="233"/>
      <c r="G55" s="233"/>
      <c r="H55" s="233"/>
      <c r="I55" s="233"/>
      <c r="J55" s="233"/>
      <c r="K55" s="233"/>
    </row>
    <row r="56" spans="1:11" ht="20.25">
      <c r="A56" s="233"/>
      <c r="B56" s="233"/>
      <c r="C56" s="233"/>
      <c r="D56" s="233"/>
      <c r="E56" s="233"/>
      <c r="F56" s="233"/>
      <c r="G56" s="233"/>
      <c r="H56" s="233"/>
      <c r="I56" s="233"/>
      <c r="J56" s="233"/>
      <c r="K56" s="233"/>
    </row>
    <row r="57" spans="1:11" ht="20.25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</row>
    <row r="58" spans="1:11" ht="20.25">
      <c r="A58" s="233" t="s">
        <v>1566</v>
      </c>
      <c r="B58" s="233"/>
      <c r="C58" s="233"/>
      <c r="D58" s="233"/>
      <c r="E58" s="233"/>
      <c r="F58" s="233"/>
      <c r="G58" s="233"/>
      <c r="H58" s="233"/>
      <c r="I58" s="233" t="s">
        <v>1567</v>
      </c>
      <c r="J58" s="233"/>
      <c r="K58" s="233"/>
    </row>
    <row r="59" spans="1:11" ht="20.25">
      <c r="A59" s="233"/>
      <c r="B59" s="233"/>
      <c r="C59" s="233"/>
      <c r="D59" s="233"/>
      <c r="E59" s="233"/>
      <c r="F59" s="233"/>
      <c r="G59" s="233"/>
      <c r="H59" s="233"/>
      <c r="I59" s="233"/>
      <c r="J59" s="233"/>
      <c r="K59" s="233"/>
    </row>
    <row r="60" spans="1:11" ht="20.25">
      <c r="A60" s="233"/>
      <c r="B60" s="233"/>
      <c r="C60" s="233"/>
      <c r="D60" s="233"/>
      <c r="E60" s="233"/>
      <c r="F60" s="233"/>
      <c r="G60" s="233"/>
      <c r="H60" s="233"/>
      <c r="I60" s="233"/>
      <c r="J60" s="233"/>
      <c r="K60" s="233"/>
    </row>
    <row r="61" spans="1:11" ht="20.25">
      <c r="A61" s="233"/>
      <c r="B61" s="233"/>
      <c r="C61" s="233"/>
      <c r="D61" s="233"/>
      <c r="E61" s="233"/>
      <c r="F61" s="233"/>
      <c r="G61" s="233"/>
      <c r="H61" s="233"/>
      <c r="I61" s="233"/>
      <c r="J61" s="233"/>
      <c r="K61" s="233"/>
    </row>
    <row r="62" spans="1:11" ht="20.25">
      <c r="A62" s="233" t="s">
        <v>1568</v>
      </c>
      <c r="B62" s="233"/>
      <c r="C62" s="233" t="s">
        <v>1569</v>
      </c>
      <c r="D62" s="233">
        <v>496</v>
      </c>
      <c r="E62" s="233" t="s">
        <v>1570</v>
      </c>
      <c r="F62" s="233" t="s">
        <v>1263</v>
      </c>
      <c r="G62" s="233">
        <v>46004</v>
      </c>
      <c r="H62" s="233"/>
      <c r="I62" s="233" t="s">
        <v>1496</v>
      </c>
      <c r="J62" s="233">
        <v>65509</v>
      </c>
      <c r="K62" s="233"/>
    </row>
    <row r="63" spans="1:11" ht="20.25">
      <c r="A63" s="233" t="s">
        <v>1571</v>
      </c>
      <c r="B63" s="233"/>
      <c r="C63" s="233" t="s">
        <v>1569</v>
      </c>
      <c r="D63" s="233">
        <v>293</v>
      </c>
      <c r="E63" s="233" t="s">
        <v>1570</v>
      </c>
      <c r="F63" s="233" t="s">
        <v>1263</v>
      </c>
      <c r="G63" s="233">
        <v>46004</v>
      </c>
      <c r="H63" s="233"/>
      <c r="I63" s="233" t="s">
        <v>1264</v>
      </c>
      <c r="J63" s="233">
        <v>65510</v>
      </c>
      <c r="K63" s="233"/>
    </row>
    <row r="64" spans="1:11" ht="20.25">
      <c r="A64" s="233"/>
      <c r="B64" s="233"/>
      <c r="C64" s="233"/>
      <c r="D64" s="233"/>
      <c r="E64" s="233"/>
      <c r="F64" s="233"/>
      <c r="G64" s="233"/>
      <c r="H64" s="233"/>
      <c r="I64" s="233"/>
      <c r="J64" s="233"/>
      <c r="K64" s="233"/>
    </row>
    <row r="65" spans="1:8" ht="20.25">
      <c r="A65" s="233"/>
      <c r="B65" s="233"/>
      <c r="C65" s="233"/>
      <c r="D65" s="233"/>
      <c r="E65" s="233"/>
      <c r="F65" s="233"/>
      <c r="G65" s="234"/>
      <c r="H65" s="233"/>
    </row>
    <row r="66" spans="1:8" ht="20.25">
      <c r="A66" s="233"/>
      <c r="B66" s="233"/>
      <c r="C66" s="233"/>
      <c r="D66" s="233"/>
      <c r="E66" s="233"/>
      <c r="F66" s="233"/>
      <c r="G66" s="234"/>
      <c r="H66" s="233"/>
    </row>
  </sheetData>
  <pageMargins left="0.69930555555555596" right="0.69930555555555596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54"/>
  <sheetViews>
    <sheetView zoomScale="40" zoomScaleNormal="40" workbookViewId="0"/>
  </sheetViews>
  <sheetFormatPr defaultColWidth="9" defaultRowHeight="12.75"/>
  <cols>
    <col min="1" max="1" width="16.28515625" customWidth="1"/>
    <col min="2" max="2" width="255.7109375" customWidth="1"/>
    <col min="3" max="3" width="52.28515625" customWidth="1"/>
    <col min="5" max="5" width="40.85546875" customWidth="1"/>
    <col min="6" max="6" width="73" customWidth="1"/>
  </cols>
  <sheetData>
    <row r="1" spans="1:6" ht="64.5">
      <c r="A1" s="210" t="s">
        <v>112</v>
      </c>
      <c r="B1" s="211" t="s">
        <v>1572</v>
      </c>
      <c r="C1" s="211" t="s">
        <v>1573</v>
      </c>
      <c r="D1" s="211"/>
      <c r="E1" s="211" t="s">
        <v>1228</v>
      </c>
      <c r="F1" s="211" t="s">
        <v>1229</v>
      </c>
    </row>
    <row r="2" spans="1:6" ht="96">
      <c r="A2" s="212">
        <v>1</v>
      </c>
      <c r="B2" s="213" t="s">
        <v>1574</v>
      </c>
      <c r="C2" s="214"/>
      <c r="D2" s="215"/>
      <c r="E2" s="214">
        <v>115</v>
      </c>
      <c r="F2" s="216">
        <f>E2*C2</f>
        <v>0</v>
      </c>
    </row>
    <row r="3" spans="1:6" ht="96">
      <c r="A3" s="212">
        <v>2</v>
      </c>
      <c r="B3" s="213" t="s">
        <v>1575</v>
      </c>
      <c r="C3" s="214"/>
      <c r="D3" s="215"/>
      <c r="E3" s="214">
        <v>170</v>
      </c>
      <c r="F3" s="216">
        <f>E3*C3</f>
        <v>0</v>
      </c>
    </row>
    <row r="4" spans="1:6" ht="96">
      <c r="A4" s="212">
        <v>3</v>
      </c>
      <c r="B4" s="213" t="s">
        <v>41</v>
      </c>
      <c r="C4" s="214"/>
      <c r="D4" s="215"/>
      <c r="E4" s="214">
        <v>20</v>
      </c>
      <c r="F4" s="216">
        <f t="shared" ref="F4:F30" si="0">E4*C4</f>
        <v>0</v>
      </c>
    </row>
    <row r="5" spans="1:6" ht="96">
      <c r="A5" s="212">
        <v>4</v>
      </c>
      <c r="B5" s="213" t="s">
        <v>1576</v>
      </c>
      <c r="C5" s="214"/>
      <c r="D5" s="215"/>
      <c r="E5" s="214">
        <v>0.01</v>
      </c>
      <c r="F5" s="216">
        <f t="shared" si="0"/>
        <v>0</v>
      </c>
    </row>
    <row r="6" spans="1:6" ht="96">
      <c r="A6" s="212">
        <v>5</v>
      </c>
      <c r="B6" s="213" t="s">
        <v>1577</v>
      </c>
      <c r="C6" s="214"/>
      <c r="D6" s="215"/>
      <c r="E6" s="214">
        <v>0.01</v>
      </c>
      <c r="F6" s="216">
        <f t="shared" si="0"/>
        <v>0</v>
      </c>
    </row>
    <row r="7" spans="1:6" ht="96">
      <c r="A7" s="212">
        <v>6</v>
      </c>
      <c r="B7" s="213" t="s">
        <v>1578</v>
      </c>
      <c r="C7" s="214"/>
      <c r="D7" s="215"/>
      <c r="E7" s="214">
        <v>75</v>
      </c>
      <c r="F7" s="216">
        <f t="shared" si="0"/>
        <v>0</v>
      </c>
    </row>
    <row r="8" spans="1:6" ht="96">
      <c r="A8" s="212">
        <v>7</v>
      </c>
      <c r="B8" s="213" t="s">
        <v>1579</v>
      </c>
      <c r="C8" s="214"/>
      <c r="D8" s="215"/>
      <c r="E8" s="214">
        <v>75</v>
      </c>
      <c r="F8" s="214">
        <f t="shared" si="0"/>
        <v>0</v>
      </c>
    </row>
    <row r="9" spans="1:6" ht="96">
      <c r="A9" s="212">
        <v>8</v>
      </c>
      <c r="B9" s="213" t="s">
        <v>1580</v>
      </c>
      <c r="C9" s="214"/>
      <c r="D9" s="215"/>
      <c r="E9" s="214">
        <v>335</v>
      </c>
      <c r="F9" s="214">
        <f t="shared" si="0"/>
        <v>0</v>
      </c>
    </row>
    <row r="10" spans="1:6" ht="96">
      <c r="A10" s="212">
        <v>9</v>
      </c>
      <c r="B10" s="213" t="s">
        <v>1581</v>
      </c>
      <c r="C10" s="214"/>
      <c r="D10" s="215"/>
      <c r="E10" s="214">
        <v>560</v>
      </c>
      <c r="F10" s="214">
        <f t="shared" si="0"/>
        <v>0</v>
      </c>
    </row>
    <row r="11" spans="1:6" ht="96">
      <c r="A11" s="212">
        <v>10</v>
      </c>
      <c r="B11" s="213" t="s">
        <v>1582</v>
      </c>
      <c r="C11" s="214"/>
      <c r="D11" s="215"/>
      <c r="E11" s="214">
        <v>560</v>
      </c>
      <c r="F11" s="214">
        <f t="shared" si="0"/>
        <v>0</v>
      </c>
    </row>
    <row r="12" spans="1:6" ht="96">
      <c r="A12" s="212">
        <v>11</v>
      </c>
      <c r="B12" s="213" t="s">
        <v>1583</v>
      </c>
      <c r="C12" s="214"/>
      <c r="D12" s="215"/>
      <c r="E12" s="214">
        <v>450</v>
      </c>
      <c r="F12" s="214">
        <f t="shared" si="0"/>
        <v>0</v>
      </c>
    </row>
    <row r="13" spans="1:6" ht="96">
      <c r="A13" s="212">
        <v>12</v>
      </c>
      <c r="B13" s="213" t="s">
        <v>1584</v>
      </c>
      <c r="C13" s="214"/>
      <c r="D13" s="215"/>
      <c r="E13" s="214">
        <v>75</v>
      </c>
      <c r="F13" s="214">
        <f t="shared" si="0"/>
        <v>0</v>
      </c>
    </row>
    <row r="14" spans="1:6" ht="96">
      <c r="A14" s="212">
        <v>13</v>
      </c>
      <c r="B14" s="213" t="s">
        <v>1585</v>
      </c>
      <c r="C14" s="214"/>
      <c r="D14" s="215"/>
      <c r="E14" s="214">
        <v>225</v>
      </c>
      <c r="F14" s="214">
        <f t="shared" si="0"/>
        <v>0</v>
      </c>
    </row>
    <row r="15" spans="1:6" ht="96">
      <c r="A15" s="212">
        <v>14</v>
      </c>
      <c r="B15" s="213" t="s">
        <v>1586</v>
      </c>
      <c r="C15" s="214"/>
      <c r="D15" s="215"/>
      <c r="E15" s="214">
        <v>560</v>
      </c>
      <c r="F15" s="214">
        <f t="shared" si="0"/>
        <v>0</v>
      </c>
    </row>
    <row r="16" spans="1:6" ht="96">
      <c r="A16" s="212">
        <v>15</v>
      </c>
      <c r="B16" s="213" t="s">
        <v>1587</v>
      </c>
      <c r="C16" s="214"/>
      <c r="D16" s="215"/>
      <c r="E16" s="214">
        <v>335</v>
      </c>
      <c r="F16" s="214">
        <f t="shared" si="0"/>
        <v>0</v>
      </c>
    </row>
    <row r="17" spans="1:6" ht="96">
      <c r="A17" s="212">
        <v>16</v>
      </c>
      <c r="B17" s="213" t="s">
        <v>1588</v>
      </c>
      <c r="C17" s="214"/>
      <c r="D17" s="215"/>
      <c r="E17" s="214">
        <v>335</v>
      </c>
      <c r="F17" s="214">
        <f t="shared" si="0"/>
        <v>0</v>
      </c>
    </row>
    <row r="18" spans="1:6" ht="96">
      <c r="A18" s="212">
        <v>17</v>
      </c>
      <c r="B18" s="213" t="s">
        <v>1589</v>
      </c>
      <c r="C18" s="214"/>
      <c r="D18" s="215"/>
      <c r="E18" s="214">
        <v>335</v>
      </c>
      <c r="F18" s="214">
        <f t="shared" si="0"/>
        <v>0</v>
      </c>
    </row>
    <row r="19" spans="1:6" ht="96">
      <c r="A19" s="212">
        <v>18</v>
      </c>
      <c r="B19" s="213" t="s">
        <v>1590</v>
      </c>
      <c r="C19" s="214"/>
      <c r="D19" s="215"/>
      <c r="E19" s="214">
        <v>560</v>
      </c>
      <c r="F19" s="214">
        <f t="shared" si="0"/>
        <v>0</v>
      </c>
    </row>
    <row r="20" spans="1:6" ht="96">
      <c r="A20" s="212">
        <v>19</v>
      </c>
      <c r="B20" s="213" t="s">
        <v>1591</v>
      </c>
      <c r="C20" s="214"/>
      <c r="D20" s="215"/>
      <c r="E20" s="214">
        <v>560</v>
      </c>
      <c r="F20" s="214">
        <f t="shared" si="0"/>
        <v>0</v>
      </c>
    </row>
    <row r="21" spans="1:6" ht="96">
      <c r="A21" s="212">
        <v>20</v>
      </c>
      <c r="B21" s="213" t="s">
        <v>1592</v>
      </c>
      <c r="C21" s="214"/>
      <c r="D21" s="215"/>
      <c r="E21" s="214">
        <v>450</v>
      </c>
      <c r="F21" s="214">
        <f t="shared" si="0"/>
        <v>0</v>
      </c>
    </row>
    <row r="22" spans="1:6" ht="96">
      <c r="A22" s="212">
        <v>21</v>
      </c>
      <c r="B22" s="213" t="s">
        <v>1593</v>
      </c>
      <c r="C22" s="214"/>
      <c r="D22" s="215"/>
      <c r="E22" s="214">
        <v>225</v>
      </c>
      <c r="F22" s="214">
        <f t="shared" si="0"/>
        <v>0</v>
      </c>
    </row>
    <row r="23" spans="1:6" ht="96">
      <c r="A23" s="212">
        <v>22</v>
      </c>
      <c r="B23" s="213" t="s">
        <v>1594</v>
      </c>
      <c r="C23" s="214"/>
      <c r="D23" s="215"/>
      <c r="E23" s="214">
        <v>225</v>
      </c>
      <c r="F23" s="214">
        <f t="shared" si="0"/>
        <v>0</v>
      </c>
    </row>
    <row r="24" spans="1:6" ht="96">
      <c r="A24" s="212">
        <v>23</v>
      </c>
      <c r="B24" s="213" t="s">
        <v>1595</v>
      </c>
      <c r="C24" s="214"/>
      <c r="D24" s="215"/>
      <c r="E24" s="214">
        <v>560</v>
      </c>
      <c r="F24" s="214">
        <f t="shared" si="0"/>
        <v>0</v>
      </c>
    </row>
    <row r="25" spans="1:6" ht="96">
      <c r="A25" s="212">
        <v>24</v>
      </c>
      <c r="B25" s="213" t="s">
        <v>1596</v>
      </c>
      <c r="C25" s="214"/>
      <c r="D25" s="215"/>
      <c r="E25" s="214">
        <v>75</v>
      </c>
      <c r="F25" s="214">
        <f t="shared" si="0"/>
        <v>0</v>
      </c>
    </row>
    <row r="26" spans="1:6" ht="96">
      <c r="A26" s="212">
        <v>25</v>
      </c>
      <c r="B26" s="213" t="s">
        <v>1597</v>
      </c>
      <c r="C26" s="214"/>
      <c r="D26" s="215"/>
      <c r="E26" s="214">
        <v>335</v>
      </c>
      <c r="F26" s="214">
        <f t="shared" si="0"/>
        <v>0</v>
      </c>
    </row>
    <row r="27" spans="1:6" ht="96">
      <c r="A27" s="212">
        <v>26</v>
      </c>
      <c r="B27" s="213" t="s">
        <v>1598</v>
      </c>
      <c r="C27" s="214"/>
      <c r="D27" s="215"/>
      <c r="E27" s="214">
        <v>560</v>
      </c>
      <c r="F27" s="214">
        <f t="shared" si="0"/>
        <v>0</v>
      </c>
    </row>
    <row r="28" spans="1:6" ht="96">
      <c r="A28" s="212">
        <v>27</v>
      </c>
      <c r="B28" s="213" t="s">
        <v>1599</v>
      </c>
      <c r="C28" s="214"/>
      <c r="D28" s="215"/>
      <c r="E28" s="214">
        <v>775</v>
      </c>
      <c r="F28" s="214">
        <f t="shared" si="0"/>
        <v>0</v>
      </c>
    </row>
    <row r="29" spans="1:6" ht="96">
      <c r="A29" s="212">
        <v>28</v>
      </c>
      <c r="B29" s="213" t="s">
        <v>1600</v>
      </c>
      <c r="C29" s="214"/>
      <c r="D29" s="215"/>
      <c r="E29" s="214">
        <v>12</v>
      </c>
      <c r="F29" s="214">
        <f t="shared" si="0"/>
        <v>0</v>
      </c>
    </row>
    <row r="30" spans="1:6" ht="96">
      <c r="A30" s="212">
        <v>29</v>
      </c>
      <c r="B30" s="213" t="s">
        <v>1601</v>
      </c>
      <c r="C30" s="214"/>
      <c r="D30" s="215"/>
      <c r="E30" s="214">
        <v>12</v>
      </c>
      <c r="F30" s="214">
        <f t="shared" si="0"/>
        <v>0</v>
      </c>
    </row>
    <row r="31" spans="1:6" ht="96">
      <c r="A31" s="212">
        <v>30</v>
      </c>
      <c r="B31" s="213" t="s">
        <v>1602</v>
      </c>
      <c r="C31" s="214"/>
      <c r="D31" s="215"/>
      <c r="E31" s="214">
        <v>880</v>
      </c>
      <c r="F31" s="214">
        <f t="shared" ref="F31:F51" si="1">E31*C31</f>
        <v>0</v>
      </c>
    </row>
    <row r="32" spans="1:6" ht="96">
      <c r="A32" s="212">
        <v>31</v>
      </c>
      <c r="B32" s="213" t="s">
        <v>1603</v>
      </c>
      <c r="C32" s="214"/>
      <c r="D32" s="215"/>
      <c r="E32" s="214">
        <v>880</v>
      </c>
      <c r="F32" s="214">
        <f t="shared" si="1"/>
        <v>0</v>
      </c>
    </row>
    <row r="33" spans="1:6" ht="96">
      <c r="A33" s="212">
        <v>32</v>
      </c>
      <c r="B33" s="213" t="s">
        <v>1604</v>
      </c>
      <c r="C33" s="214"/>
      <c r="D33" s="215"/>
      <c r="E33" s="214">
        <v>450</v>
      </c>
      <c r="F33" s="214">
        <f t="shared" si="1"/>
        <v>0</v>
      </c>
    </row>
    <row r="34" spans="1:6" ht="96">
      <c r="A34" s="212">
        <v>33</v>
      </c>
      <c r="B34" s="213" t="s">
        <v>1605</v>
      </c>
      <c r="C34" s="214"/>
      <c r="D34" s="215"/>
      <c r="E34" s="214">
        <v>450</v>
      </c>
      <c r="F34" s="214">
        <f t="shared" si="1"/>
        <v>0</v>
      </c>
    </row>
    <row r="35" spans="1:6" ht="96">
      <c r="A35" s="212">
        <v>34</v>
      </c>
      <c r="B35" s="213" t="s">
        <v>1606</v>
      </c>
      <c r="C35" s="214"/>
      <c r="D35" s="215"/>
      <c r="E35" s="214">
        <v>75</v>
      </c>
      <c r="F35" s="214">
        <f t="shared" si="1"/>
        <v>0</v>
      </c>
    </row>
    <row r="36" spans="1:6" ht="96">
      <c r="A36" s="212">
        <v>35</v>
      </c>
      <c r="B36" s="213" t="s">
        <v>1607</v>
      </c>
      <c r="C36" s="214"/>
      <c r="D36" s="215"/>
      <c r="E36" s="214">
        <v>190</v>
      </c>
      <c r="F36" s="214">
        <f t="shared" si="1"/>
        <v>0</v>
      </c>
    </row>
    <row r="37" spans="1:6" ht="96">
      <c r="A37" s="212">
        <v>36</v>
      </c>
      <c r="B37" s="213" t="s">
        <v>1608</v>
      </c>
      <c r="C37" s="214"/>
      <c r="D37" s="215"/>
      <c r="E37" s="214">
        <v>560</v>
      </c>
      <c r="F37" s="214">
        <f t="shared" si="1"/>
        <v>0</v>
      </c>
    </row>
    <row r="38" spans="1:6" ht="96">
      <c r="A38" s="212">
        <v>37</v>
      </c>
      <c r="B38" s="213" t="s">
        <v>1609</v>
      </c>
      <c r="C38" s="214"/>
      <c r="D38" s="215"/>
      <c r="E38" s="214">
        <v>2100</v>
      </c>
      <c r="F38" s="214">
        <f t="shared" si="1"/>
        <v>0</v>
      </c>
    </row>
    <row r="39" spans="1:6" ht="96">
      <c r="A39" s="212">
        <v>38</v>
      </c>
      <c r="B39" s="213" t="s">
        <v>1610</v>
      </c>
      <c r="C39" s="214"/>
      <c r="D39" s="215"/>
      <c r="E39" s="214">
        <v>115</v>
      </c>
      <c r="F39" s="214">
        <f t="shared" si="1"/>
        <v>0</v>
      </c>
    </row>
    <row r="40" spans="1:6" ht="96">
      <c r="A40" s="212">
        <v>39</v>
      </c>
      <c r="B40" s="213" t="s">
        <v>1611</v>
      </c>
      <c r="C40" s="214"/>
      <c r="D40" s="215"/>
      <c r="E40" s="214">
        <v>32</v>
      </c>
      <c r="F40" s="214">
        <f t="shared" si="1"/>
        <v>0</v>
      </c>
    </row>
    <row r="41" spans="1:6" ht="96">
      <c r="A41" s="212">
        <v>40</v>
      </c>
      <c r="B41" s="213" t="s">
        <v>1612</v>
      </c>
      <c r="C41" s="214"/>
      <c r="D41" s="215"/>
      <c r="E41" s="214">
        <v>335</v>
      </c>
      <c r="F41" s="214">
        <f t="shared" si="1"/>
        <v>0</v>
      </c>
    </row>
    <row r="42" spans="1:6" ht="96">
      <c r="A42" s="212">
        <v>41</v>
      </c>
      <c r="B42" s="213" t="s">
        <v>1613</v>
      </c>
      <c r="C42" s="214"/>
      <c r="D42" s="215"/>
      <c r="E42" s="214">
        <v>225</v>
      </c>
      <c r="F42" s="214">
        <f t="shared" si="1"/>
        <v>0</v>
      </c>
    </row>
    <row r="43" spans="1:6" ht="96">
      <c r="A43" s="212">
        <v>42</v>
      </c>
      <c r="B43" s="213" t="s">
        <v>1614</v>
      </c>
      <c r="C43" s="214"/>
      <c r="D43" s="215"/>
      <c r="E43" s="214">
        <v>225</v>
      </c>
      <c r="F43" s="214">
        <f t="shared" si="1"/>
        <v>0</v>
      </c>
    </row>
    <row r="44" spans="1:6" ht="192">
      <c r="A44" s="212">
        <v>43</v>
      </c>
      <c r="B44" s="214" t="s">
        <v>1615</v>
      </c>
      <c r="C44" s="214"/>
      <c r="D44" s="215"/>
      <c r="E44" s="214">
        <v>32</v>
      </c>
      <c r="F44" s="214">
        <f t="shared" si="1"/>
        <v>0</v>
      </c>
    </row>
    <row r="45" spans="1:6" ht="96">
      <c r="A45" s="212">
        <v>44</v>
      </c>
      <c r="B45" s="213" t="s">
        <v>1616</v>
      </c>
      <c r="C45" s="214"/>
      <c r="D45" s="215"/>
      <c r="E45" s="214">
        <v>135</v>
      </c>
      <c r="F45" s="214">
        <f t="shared" si="1"/>
        <v>0</v>
      </c>
    </row>
    <row r="46" spans="1:6" ht="96">
      <c r="A46" s="212">
        <v>45</v>
      </c>
      <c r="B46" s="213" t="s">
        <v>1617</v>
      </c>
      <c r="C46" s="214"/>
      <c r="D46" s="215"/>
      <c r="E46" s="214">
        <v>12</v>
      </c>
      <c r="F46" s="214">
        <f t="shared" si="1"/>
        <v>0</v>
      </c>
    </row>
    <row r="47" spans="1:6" ht="96">
      <c r="A47" s="212">
        <v>46</v>
      </c>
      <c r="B47" s="213" t="s">
        <v>1618</v>
      </c>
      <c r="C47" s="214"/>
      <c r="D47" s="215"/>
      <c r="E47" s="214">
        <v>2800</v>
      </c>
      <c r="F47" s="214">
        <f t="shared" si="1"/>
        <v>0</v>
      </c>
    </row>
    <row r="48" spans="1:6" ht="96">
      <c r="A48" s="212">
        <v>47</v>
      </c>
      <c r="B48" s="213" t="s">
        <v>1619</v>
      </c>
      <c r="C48" s="214"/>
      <c r="D48" s="215"/>
      <c r="E48" s="214">
        <v>170</v>
      </c>
      <c r="F48" s="214">
        <f t="shared" si="1"/>
        <v>0</v>
      </c>
    </row>
    <row r="49" spans="1:6" ht="96">
      <c r="A49" s="212">
        <v>48</v>
      </c>
      <c r="B49" s="213" t="s">
        <v>1620</v>
      </c>
      <c r="C49" s="214"/>
      <c r="D49" s="215"/>
      <c r="E49" s="214">
        <v>335</v>
      </c>
      <c r="F49" s="214">
        <f t="shared" si="1"/>
        <v>0</v>
      </c>
    </row>
    <row r="50" spans="1:6" ht="96">
      <c r="A50" s="212">
        <v>49</v>
      </c>
      <c r="B50" s="217" t="s">
        <v>1621</v>
      </c>
      <c r="C50" s="214"/>
      <c r="D50" s="218"/>
      <c r="E50" s="214">
        <v>75</v>
      </c>
      <c r="F50" s="214">
        <f t="shared" si="1"/>
        <v>0</v>
      </c>
    </row>
    <row r="51" spans="1:6" ht="96">
      <c r="A51" s="212">
        <v>50</v>
      </c>
      <c r="B51" s="217" t="s">
        <v>1622</v>
      </c>
      <c r="C51" s="219"/>
      <c r="D51" s="220"/>
      <c r="E51" s="214">
        <v>190</v>
      </c>
      <c r="F51" s="214">
        <f t="shared" si="1"/>
        <v>0</v>
      </c>
    </row>
    <row r="52" spans="1:6" ht="120">
      <c r="A52" s="221"/>
      <c r="B52" s="222" t="s">
        <v>1231</v>
      </c>
      <c r="C52" s="223">
        <f>SUM(C2:C51)</f>
        <v>0</v>
      </c>
      <c r="D52" s="221"/>
      <c r="E52" s="224" t="s">
        <v>1230</v>
      </c>
      <c r="F52" s="214">
        <f>SUM(F2:F51)</f>
        <v>0</v>
      </c>
    </row>
    <row r="53" spans="1:6" ht="120">
      <c r="A53" s="221"/>
      <c r="B53" s="221"/>
      <c r="C53" s="225"/>
      <c r="D53" s="221"/>
      <c r="E53" s="226" t="s">
        <v>1623</v>
      </c>
      <c r="F53" s="227"/>
    </row>
    <row r="54" spans="1:6" ht="96">
      <c r="A54" s="221"/>
      <c r="B54" s="221"/>
      <c r="C54" s="225"/>
      <c r="D54" s="221"/>
      <c r="E54" s="228" t="s">
        <v>1624</v>
      </c>
      <c r="F54" s="229">
        <f>F52-F53</f>
        <v>0</v>
      </c>
    </row>
  </sheetData>
  <pageMargins left="0.69930555555555596" right="0.69930555555555596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3:AA369"/>
  <sheetViews>
    <sheetView topLeftCell="A13" zoomScale="55" zoomScaleNormal="55" workbookViewId="0">
      <selection activeCell="B49" sqref="B49"/>
    </sheetView>
  </sheetViews>
  <sheetFormatPr defaultColWidth="9.140625" defaultRowHeight="12.75"/>
  <cols>
    <col min="1" max="1" width="13.5703125" style="196" customWidth="1"/>
    <col min="2" max="2" width="195" style="196" customWidth="1"/>
    <col min="3" max="8" width="9.140625" style="196"/>
    <col min="9" max="9" width="24.5703125" style="196"/>
    <col min="10" max="20" width="9.140625" style="196"/>
    <col min="21" max="21" width="16.28515625" style="196" customWidth="1"/>
    <col min="22" max="22" width="61.7109375" style="196" customWidth="1"/>
    <col min="23" max="25" width="9.140625" style="196"/>
    <col min="26" max="26" width="16.28515625" style="196" customWidth="1"/>
    <col min="27" max="27" width="61.7109375" style="196" customWidth="1"/>
    <col min="28" max="16384" width="9.140625" style="196"/>
  </cols>
  <sheetData>
    <row r="3" spans="1:27" ht="35.25">
      <c r="B3" s="197" t="s">
        <v>1625</v>
      </c>
      <c r="I3" s="203"/>
      <c r="Z3" s="204" t="s">
        <v>1056</v>
      </c>
      <c r="AA3" s="204" t="s">
        <v>1626</v>
      </c>
    </row>
    <row r="4" spans="1:27" ht="35.25">
      <c r="A4" s="198"/>
      <c r="B4" s="198"/>
      <c r="I4" s="203"/>
      <c r="Z4" s="204" t="s">
        <v>1627</v>
      </c>
      <c r="AA4" s="204" t="s">
        <v>1628</v>
      </c>
    </row>
    <row r="5" spans="1:27" ht="90.75">
      <c r="A5" s="199">
        <v>1</v>
      </c>
      <c r="B5" s="198"/>
      <c r="I5" s="203"/>
      <c r="Z5" s="204" t="s">
        <v>1629</v>
      </c>
      <c r="AA5" s="204" t="s">
        <v>1630</v>
      </c>
    </row>
    <row r="6" spans="1:27" ht="35.25">
      <c r="A6" s="200"/>
      <c r="I6" s="203"/>
      <c r="Z6" s="204" t="s">
        <v>1631</v>
      </c>
      <c r="AA6" s="204" t="s">
        <v>1632</v>
      </c>
    </row>
    <row r="7" spans="1:27" ht="35.25">
      <c r="A7" s="200"/>
      <c r="I7" s="203"/>
      <c r="Z7" s="204" t="s">
        <v>1633</v>
      </c>
      <c r="AA7" s="204" t="s">
        <v>1634</v>
      </c>
    </row>
    <row r="8" spans="1:27" ht="35.25">
      <c r="A8" s="200"/>
      <c r="I8" s="203"/>
      <c r="Z8" s="204" t="s">
        <v>1635</v>
      </c>
      <c r="AA8" s="204" t="s">
        <v>1636</v>
      </c>
    </row>
    <row r="9" spans="1:27" ht="35.25">
      <c r="A9" s="200"/>
      <c r="I9" s="203"/>
      <c r="Z9" s="204" t="s">
        <v>1637</v>
      </c>
      <c r="AA9" s="204" t="s">
        <v>1638</v>
      </c>
    </row>
    <row r="10" spans="1:27" ht="35.25">
      <c r="I10" s="203"/>
      <c r="Z10" s="204" t="s">
        <v>1639</v>
      </c>
      <c r="AA10" s="204" t="s">
        <v>1640</v>
      </c>
    </row>
    <row r="11" spans="1:27" ht="35.25">
      <c r="I11" s="203"/>
      <c r="Z11" s="204" t="s">
        <v>1641</v>
      </c>
      <c r="AA11" s="204" t="s">
        <v>1642</v>
      </c>
    </row>
    <row r="12" spans="1:27" ht="35.25">
      <c r="I12" s="203"/>
      <c r="Z12" s="204" t="s">
        <v>1643</v>
      </c>
      <c r="AA12" s="204" t="s">
        <v>1644</v>
      </c>
    </row>
    <row r="13" spans="1:27" ht="35.25">
      <c r="I13" s="203"/>
      <c r="Z13" s="204" t="s">
        <v>1645</v>
      </c>
      <c r="AA13" s="204" t="s">
        <v>1646</v>
      </c>
    </row>
    <row r="14" spans="1:27" ht="35.25">
      <c r="I14" s="203"/>
      <c r="Z14" s="204" t="s">
        <v>1038</v>
      </c>
      <c r="AA14" s="204" t="s">
        <v>1647</v>
      </c>
    </row>
    <row r="15" spans="1:27" ht="35.25">
      <c r="I15" s="203"/>
      <c r="Z15" s="204"/>
      <c r="AA15" s="204"/>
    </row>
    <row r="16" spans="1:27" ht="64.5">
      <c r="B16" s="201" t="s">
        <v>1648</v>
      </c>
      <c r="I16" s="203"/>
      <c r="Z16" s="204"/>
      <c r="AA16" s="204"/>
    </row>
    <row r="17" spans="1:27" ht="90.75">
      <c r="A17" s="199">
        <v>2</v>
      </c>
      <c r="B17" s="202"/>
      <c r="Z17" s="204" t="s">
        <v>1442</v>
      </c>
      <c r="AA17" s="204" t="s">
        <v>1649</v>
      </c>
    </row>
    <row r="18" spans="1:27" ht="33.75">
      <c r="Z18" s="204" t="s">
        <v>1650</v>
      </c>
      <c r="AA18" s="204" t="s">
        <v>1651</v>
      </c>
    </row>
    <row r="19" spans="1:27" ht="33.75">
      <c r="Z19" s="204" t="s">
        <v>1473</v>
      </c>
      <c r="AA19" s="204" t="s">
        <v>1652</v>
      </c>
    </row>
    <row r="20" spans="1:27" ht="33.75">
      <c r="Z20" s="204" t="s">
        <v>1653</v>
      </c>
      <c r="AA20" s="204" t="s">
        <v>1654</v>
      </c>
    </row>
    <row r="21" spans="1:27" ht="33.75">
      <c r="Z21" s="204" t="s">
        <v>1655</v>
      </c>
      <c r="AA21" s="204" t="s">
        <v>1656</v>
      </c>
    </row>
    <row r="22" spans="1:27" ht="33.75">
      <c r="Z22" s="204" t="s">
        <v>1657</v>
      </c>
      <c r="AA22" s="204" t="s">
        <v>1658</v>
      </c>
    </row>
    <row r="23" spans="1:27" ht="33.75">
      <c r="Z23" s="204" t="s">
        <v>1659</v>
      </c>
      <c r="AA23" s="204" t="s">
        <v>1660</v>
      </c>
    </row>
    <row r="24" spans="1:27" ht="33.75">
      <c r="Z24" s="204" t="s">
        <v>1661</v>
      </c>
      <c r="AA24" s="204" t="s">
        <v>1662</v>
      </c>
    </row>
    <row r="25" spans="1:27" ht="33.75">
      <c r="Z25" s="204" t="s">
        <v>1467</v>
      </c>
      <c r="AA25" s="204" t="s">
        <v>1663</v>
      </c>
    </row>
    <row r="26" spans="1:27" ht="33.75">
      <c r="Z26" s="204" t="s">
        <v>1664</v>
      </c>
      <c r="AA26" s="204" t="s">
        <v>1665</v>
      </c>
    </row>
    <row r="48" spans="1:2" ht="90.75">
      <c r="A48" s="199"/>
      <c r="B48" s="201" t="s">
        <v>1648</v>
      </c>
    </row>
    <row r="49" spans="1:1" ht="90.75">
      <c r="A49" s="199">
        <v>3</v>
      </c>
    </row>
    <row r="95" spans="2:2" ht="64.5">
      <c r="B95" s="201" t="s">
        <v>1648</v>
      </c>
    </row>
    <row r="97" spans="1:1" ht="90.75">
      <c r="A97" s="199">
        <v>4</v>
      </c>
    </row>
    <row r="141" spans="1:1" ht="60">
      <c r="A141" s="205">
        <v>5</v>
      </c>
    </row>
    <row r="178" spans="1:1" ht="60">
      <c r="A178" s="205">
        <v>6</v>
      </c>
    </row>
    <row r="208" spans="1:2" ht="60">
      <c r="A208" s="205">
        <v>7</v>
      </c>
      <c r="B208" s="206" t="s">
        <v>1666</v>
      </c>
    </row>
    <row r="316" spans="1:2" ht="60">
      <c r="A316" s="205">
        <v>8</v>
      </c>
      <c r="B316" s="207" t="s">
        <v>1667</v>
      </c>
    </row>
    <row r="317" spans="1:2" ht="30">
      <c r="B317" s="104"/>
    </row>
    <row r="318" spans="1:2" ht="60">
      <c r="B318" s="208" t="s">
        <v>1668</v>
      </c>
    </row>
    <row r="324" spans="1:2" ht="60">
      <c r="A324" s="205">
        <v>9</v>
      </c>
      <c r="B324" s="207" t="s">
        <v>1669</v>
      </c>
    </row>
    <row r="325" spans="1:2" ht="30">
      <c r="B325" s="104"/>
    </row>
    <row r="326" spans="1:2" ht="60">
      <c r="B326" s="208" t="s">
        <v>1670</v>
      </c>
    </row>
    <row r="327" spans="1:2" ht="30">
      <c r="B327" s="208"/>
    </row>
    <row r="328" spans="1:2" ht="30">
      <c r="B328" s="104"/>
    </row>
    <row r="329" spans="1:2" ht="30">
      <c r="B329" s="208"/>
    </row>
    <row r="330" spans="1:2" ht="60">
      <c r="A330" s="205">
        <v>10</v>
      </c>
      <c r="B330" s="208" t="s">
        <v>1671</v>
      </c>
    </row>
    <row r="331" spans="1:2" ht="30">
      <c r="B331" s="104"/>
    </row>
    <row r="332" spans="1:2" ht="30">
      <c r="B332" s="208"/>
    </row>
    <row r="333" spans="1:2" ht="30">
      <c r="B333" s="208"/>
    </row>
    <row r="334" spans="1:2" ht="30">
      <c r="B334" s="104"/>
    </row>
    <row r="335" spans="1:2" ht="30">
      <c r="B335" s="208"/>
    </row>
    <row r="336" spans="1:2" ht="30">
      <c r="B336" s="208"/>
    </row>
    <row r="337" spans="2:2" ht="30">
      <c r="B337" s="104"/>
    </row>
    <row r="338" spans="2:2" ht="30">
      <c r="B338" s="208"/>
    </row>
    <row r="339" spans="2:2" ht="30">
      <c r="B339" s="208"/>
    </row>
    <row r="340" spans="2:2" ht="30">
      <c r="B340" s="104"/>
    </row>
    <row r="341" spans="2:2" ht="30">
      <c r="B341" s="208"/>
    </row>
    <row r="342" spans="2:2" ht="30">
      <c r="B342" s="208"/>
    </row>
    <row r="369" spans="1:2" ht="60">
      <c r="A369" s="205">
        <v>11</v>
      </c>
      <c r="B369" s="209" t="s">
        <v>1672</v>
      </c>
    </row>
  </sheetData>
  <pageMargins left="0.25" right="0.25" top="0.75" bottom="0.75" header="0.3" footer="0.3"/>
  <pageSetup paperSize="9" scale="11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2:C47"/>
  <sheetViews>
    <sheetView workbookViewId="0"/>
  </sheetViews>
  <sheetFormatPr defaultColWidth="9" defaultRowHeight="12.75"/>
  <cols>
    <col min="1" max="1" width="98.42578125" customWidth="1"/>
    <col min="2" max="2" width="9.7109375" customWidth="1"/>
    <col min="3" max="3" width="50" customWidth="1"/>
  </cols>
  <sheetData>
    <row r="2" spans="1:3" ht="27.75">
      <c r="A2" s="193" t="s">
        <v>1673</v>
      </c>
    </row>
    <row r="3" spans="1:3" ht="23.25">
      <c r="A3" s="194" t="s">
        <v>1674</v>
      </c>
    </row>
    <row r="7" spans="1:3" ht="20.25">
      <c r="A7" s="158" t="s">
        <v>1675</v>
      </c>
      <c r="B7" s="158" t="s">
        <v>1643</v>
      </c>
      <c r="C7" s="158" t="s">
        <v>1676</v>
      </c>
    </row>
    <row r="8" spans="1:3" ht="20.25">
      <c r="A8" s="158" t="s">
        <v>1677</v>
      </c>
      <c r="B8" s="158" t="s">
        <v>1043</v>
      </c>
      <c r="C8" s="158" t="s">
        <v>1678</v>
      </c>
    </row>
    <row r="9" spans="1:3" ht="20.25">
      <c r="A9" s="158" t="s">
        <v>1679</v>
      </c>
      <c r="B9" s="158" t="s">
        <v>1071</v>
      </c>
      <c r="C9" s="158" t="s">
        <v>1680</v>
      </c>
    </row>
    <row r="10" spans="1:3" ht="20.25">
      <c r="A10" s="158" t="s">
        <v>1681</v>
      </c>
      <c r="B10" s="158" t="s">
        <v>699</v>
      </c>
      <c r="C10" s="158" t="s">
        <v>1682</v>
      </c>
    </row>
    <row r="11" spans="1:3" ht="20.25">
      <c r="A11" s="158" t="s">
        <v>1683</v>
      </c>
      <c r="B11" s="158" t="s">
        <v>1053</v>
      </c>
      <c r="C11" s="158" t="s">
        <v>1684</v>
      </c>
    </row>
    <row r="12" spans="1:3" ht="18">
      <c r="A12" s="34"/>
      <c r="B12" s="34"/>
      <c r="C12" s="34"/>
    </row>
    <row r="13" spans="1:3" ht="18">
      <c r="A13" s="34" t="s">
        <v>1685</v>
      </c>
      <c r="B13" s="34"/>
      <c r="C13" s="34"/>
    </row>
    <row r="14" spans="1:3" ht="18">
      <c r="A14" s="34" t="s">
        <v>1686</v>
      </c>
      <c r="B14" s="34"/>
      <c r="C14" s="34"/>
    </row>
    <row r="15" spans="1:3" ht="18">
      <c r="A15" s="195" t="s">
        <v>1687</v>
      </c>
      <c r="B15" s="34"/>
      <c r="C15" s="34"/>
    </row>
    <row r="16" spans="1:3" ht="18">
      <c r="A16" s="34"/>
      <c r="B16" s="34"/>
      <c r="C16" s="34"/>
    </row>
    <row r="17" spans="1:3" ht="18">
      <c r="A17" s="34"/>
      <c r="B17" s="34"/>
      <c r="C17" s="34"/>
    </row>
    <row r="18" spans="1:3" ht="18">
      <c r="A18" s="34"/>
      <c r="B18" s="34"/>
      <c r="C18" s="34"/>
    </row>
    <row r="19" spans="1:3" ht="27.75">
      <c r="A19" s="193" t="s">
        <v>1688</v>
      </c>
      <c r="B19" s="34"/>
      <c r="C19" s="34"/>
    </row>
    <row r="20" spans="1:3" ht="18">
      <c r="A20" s="34"/>
      <c r="B20" s="34"/>
      <c r="C20" s="34"/>
    </row>
    <row r="21" spans="1:3" ht="20.25">
      <c r="A21" s="158" t="s">
        <v>1675</v>
      </c>
      <c r="B21" s="158" t="s">
        <v>1689</v>
      </c>
      <c r="C21" s="158" t="s">
        <v>1690</v>
      </c>
    </row>
    <row r="22" spans="1:3" ht="20.25">
      <c r="A22" s="158" t="s">
        <v>1677</v>
      </c>
      <c r="B22" s="158" t="s">
        <v>1043</v>
      </c>
      <c r="C22" s="158" t="s">
        <v>1678</v>
      </c>
    </row>
    <row r="23" spans="1:3" ht="20.25">
      <c r="A23" s="158" t="s">
        <v>1679</v>
      </c>
      <c r="B23" s="158" t="s">
        <v>1446</v>
      </c>
      <c r="C23" s="158" t="s">
        <v>1691</v>
      </c>
    </row>
    <row r="24" spans="1:3" ht="20.25">
      <c r="A24" s="158" t="s">
        <v>1681</v>
      </c>
      <c r="B24" s="158" t="s">
        <v>699</v>
      </c>
      <c r="C24" s="158" t="s">
        <v>1682</v>
      </c>
    </row>
    <row r="25" spans="1:3" ht="20.25">
      <c r="A25" s="158" t="s">
        <v>1683</v>
      </c>
      <c r="B25" s="158" t="s">
        <v>1053</v>
      </c>
      <c r="C25" s="158" t="s">
        <v>1684</v>
      </c>
    </row>
    <row r="28" spans="1:3" ht="18">
      <c r="A28" s="195" t="s">
        <v>1685</v>
      </c>
    </row>
    <row r="29" spans="1:3" ht="18">
      <c r="A29" s="195" t="s">
        <v>1686</v>
      </c>
    </row>
    <row r="30" spans="1:3" ht="18">
      <c r="A30" s="195" t="s">
        <v>1692</v>
      </c>
    </row>
    <row r="34" spans="1:3">
      <c r="A34" t="s">
        <v>1693</v>
      </c>
    </row>
    <row r="35" spans="1:3" ht="27.75">
      <c r="A35" s="193" t="s">
        <v>1694</v>
      </c>
    </row>
    <row r="36" spans="1:3" ht="23.25">
      <c r="A36" s="194" t="s">
        <v>1695</v>
      </c>
    </row>
    <row r="39" spans="1:3" ht="20.25">
      <c r="A39" s="158" t="s">
        <v>1675</v>
      </c>
      <c r="B39" s="158" t="s">
        <v>1696</v>
      </c>
      <c r="C39" s="158" t="s">
        <v>1697</v>
      </c>
    </row>
    <row r="40" spans="1:3" ht="20.25">
      <c r="A40" s="158" t="s">
        <v>1677</v>
      </c>
      <c r="B40" s="158" t="s">
        <v>1043</v>
      </c>
      <c r="C40" s="158" t="s">
        <v>1678</v>
      </c>
    </row>
    <row r="41" spans="1:3" ht="20.25">
      <c r="A41" s="158" t="s">
        <v>1679</v>
      </c>
      <c r="B41" s="158" t="s">
        <v>1446</v>
      </c>
      <c r="C41" s="158" t="s">
        <v>1691</v>
      </c>
    </row>
    <row r="42" spans="1:3" ht="20.25">
      <c r="A42" s="158" t="s">
        <v>1681</v>
      </c>
      <c r="B42" s="158" t="s">
        <v>699</v>
      </c>
      <c r="C42" s="158" t="s">
        <v>1682</v>
      </c>
    </row>
    <row r="43" spans="1:3" ht="20.25">
      <c r="A43" s="158" t="s">
        <v>1683</v>
      </c>
      <c r="B43" s="158" t="s">
        <v>1053</v>
      </c>
      <c r="C43" s="158" t="s">
        <v>1684</v>
      </c>
    </row>
    <row r="46" spans="1:3" ht="18">
      <c r="A46" s="195" t="s">
        <v>1685</v>
      </c>
    </row>
    <row r="47" spans="1:3" ht="18">
      <c r="A47" s="195" t="s">
        <v>1692</v>
      </c>
    </row>
  </sheetData>
  <pageMargins left="0.69930555555555596" right="0.69930555555555596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36"/>
  <sheetViews>
    <sheetView workbookViewId="0">
      <selection activeCell="B1" sqref="B1"/>
    </sheetView>
  </sheetViews>
  <sheetFormatPr defaultColWidth="9" defaultRowHeight="12.75"/>
  <cols>
    <col min="1" max="1" width="47.28515625" customWidth="1"/>
    <col min="2" max="2" width="79.140625" customWidth="1"/>
    <col min="10" max="10" width="66.140625" customWidth="1"/>
    <col min="11" max="11" width="36" customWidth="1"/>
  </cols>
  <sheetData>
    <row r="1" spans="1:11" ht="18.75" customHeight="1">
      <c r="J1" s="190"/>
      <c r="K1" s="191"/>
    </row>
    <row r="2" spans="1:11" ht="26.25">
      <c r="A2" s="169" t="s">
        <v>1698</v>
      </c>
      <c r="B2" s="170" t="s">
        <v>1699</v>
      </c>
    </row>
    <row r="4" spans="1:11" ht="18">
      <c r="A4" s="171" t="s">
        <v>25</v>
      </c>
    </row>
    <row r="9" spans="1:11" ht="18.75">
      <c r="A9" s="172" t="s">
        <v>533</v>
      </c>
      <c r="B9" s="173" t="s">
        <v>534</v>
      </c>
    </row>
    <row r="10" spans="1:11" ht="18.75" customHeight="1">
      <c r="A10" s="174" t="s">
        <v>643</v>
      </c>
      <c r="B10" s="174" t="s">
        <v>644</v>
      </c>
      <c r="C10" s="175"/>
    </row>
    <row r="11" spans="1:11" ht="18.75" customHeight="1">
      <c r="A11" s="174" t="s">
        <v>684</v>
      </c>
      <c r="B11" s="174" t="s">
        <v>685</v>
      </c>
      <c r="C11" s="176"/>
    </row>
    <row r="12" spans="1:11" ht="18.75">
      <c r="A12" s="173" t="s">
        <v>551</v>
      </c>
      <c r="B12" s="173" t="s">
        <v>552</v>
      </c>
      <c r="C12" s="176"/>
    </row>
    <row r="13" spans="1:11" ht="18.75">
      <c r="A13" s="174" t="s">
        <v>575</v>
      </c>
      <c r="B13" s="174" t="s">
        <v>576</v>
      </c>
      <c r="C13" s="176"/>
    </row>
    <row r="14" spans="1:11" ht="18.75">
      <c r="A14" s="174" t="s">
        <v>1700</v>
      </c>
      <c r="B14" s="174" t="s">
        <v>1701</v>
      </c>
      <c r="C14" s="176"/>
    </row>
    <row r="15" spans="1:11" ht="18.75">
      <c r="A15" s="174" t="s">
        <v>1702</v>
      </c>
      <c r="B15" s="174" t="s">
        <v>1703</v>
      </c>
      <c r="C15" s="176"/>
    </row>
    <row r="16" spans="1:11" ht="18.75">
      <c r="A16" s="174" t="s">
        <v>1704</v>
      </c>
      <c r="B16" s="174" t="s">
        <v>576</v>
      </c>
      <c r="C16" s="176"/>
    </row>
    <row r="17" spans="1:11" ht="18.75">
      <c r="A17" s="174" t="s">
        <v>1705</v>
      </c>
      <c r="B17" s="174" t="s">
        <v>1706</v>
      </c>
      <c r="C17" s="176"/>
    </row>
    <row r="18" spans="1:11" ht="18.75">
      <c r="A18" s="174" t="s">
        <v>1707</v>
      </c>
      <c r="B18" s="174" t="s">
        <v>1708</v>
      </c>
      <c r="C18" s="176"/>
    </row>
    <row r="19" spans="1:11" ht="18.75">
      <c r="A19" s="174" t="s">
        <v>1709</v>
      </c>
      <c r="B19" s="174" t="s">
        <v>1710</v>
      </c>
      <c r="C19" s="176"/>
    </row>
    <row r="20" spans="1:11" ht="19.5">
      <c r="A20" s="177" t="s">
        <v>1711</v>
      </c>
      <c r="B20" s="178" t="s">
        <v>568</v>
      </c>
      <c r="C20" s="176"/>
    </row>
    <row r="21" spans="1:11" ht="18.75">
      <c r="A21" s="174" t="s">
        <v>1712</v>
      </c>
      <c r="B21" s="174" t="s">
        <v>1713</v>
      </c>
      <c r="C21" s="176"/>
    </row>
    <row r="22" spans="1:11" ht="18.75">
      <c r="A22" s="174" t="s">
        <v>1714</v>
      </c>
      <c r="B22" s="174" t="s">
        <v>1715</v>
      </c>
      <c r="C22" s="176"/>
    </row>
    <row r="23" spans="1:11" ht="18.75">
      <c r="A23" s="174" t="s">
        <v>624</v>
      </c>
      <c r="B23" s="174" t="s">
        <v>625</v>
      </c>
      <c r="C23" s="176"/>
    </row>
    <row r="24" spans="1:11" ht="18.75">
      <c r="A24" s="174" t="s">
        <v>1716</v>
      </c>
      <c r="B24" s="174" t="s">
        <v>1717</v>
      </c>
      <c r="C24" s="176"/>
    </row>
    <row r="25" spans="1:11" ht="18.75">
      <c r="A25" s="179" t="s">
        <v>1718</v>
      </c>
      <c r="B25" s="179" t="s">
        <v>1719</v>
      </c>
      <c r="C25" s="176"/>
    </row>
    <row r="26" spans="1:11" ht="19.5">
      <c r="A26" s="180" t="s">
        <v>556</v>
      </c>
      <c r="B26" s="180" t="s">
        <v>557</v>
      </c>
      <c r="C26" s="176"/>
      <c r="J26" s="192"/>
      <c r="K26" s="174"/>
    </row>
    <row r="27" spans="1:11" ht="18.75">
      <c r="A27" s="181" t="s">
        <v>1720</v>
      </c>
      <c r="B27" s="181" t="s">
        <v>1721</v>
      </c>
      <c r="C27" s="176"/>
    </row>
    <row r="28" spans="1:11" ht="19.5">
      <c r="A28" s="182" t="s">
        <v>572</v>
      </c>
      <c r="B28" s="182" t="s">
        <v>573</v>
      </c>
      <c r="C28" s="183"/>
    </row>
    <row r="29" spans="1:11" ht="18.75">
      <c r="A29" s="184" t="s">
        <v>1722</v>
      </c>
      <c r="B29" s="184" t="s">
        <v>1723</v>
      </c>
      <c r="C29" s="176"/>
    </row>
    <row r="30" spans="1:11" ht="18.75">
      <c r="A30" s="185" t="s">
        <v>1724</v>
      </c>
      <c r="B30" s="185"/>
      <c r="C30" s="176"/>
    </row>
    <row r="31" spans="1:11" ht="18.75">
      <c r="A31" s="186" t="s">
        <v>1725</v>
      </c>
      <c r="B31" s="186" t="s">
        <v>545</v>
      </c>
      <c r="C31" s="187"/>
    </row>
    <row r="32" spans="1:11" ht="18.75">
      <c r="A32" s="188" t="s">
        <v>1723</v>
      </c>
      <c r="B32" s="189" t="s">
        <v>1722</v>
      </c>
      <c r="C32" s="176"/>
    </row>
    <row r="33" spans="1:3" ht="18.75">
      <c r="A33" s="176"/>
      <c r="B33" s="176"/>
      <c r="C33" s="176"/>
    </row>
    <row r="34" spans="1:3" ht="18.75">
      <c r="A34" s="176"/>
      <c r="B34" s="176"/>
      <c r="C34" s="176"/>
    </row>
    <row r="35" spans="1:3" ht="18.75">
      <c r="A35" s="176"/>
      <c r="B35" s="176"/>
      <c r="C35" s="176"/>
    </row>
    <row r="36" spans="1:3">
      <c r="A36" s="175"/>
      <c r="B36" s="175"/>
      <c r="C36" s="175"/>
    </row>
  </sheetData>
  <hyperlinks>
    <hyperlink ref="B2" r:id="rId1"/>
  </hyperlinks>
  <pageMargins left="0.69930555555555596" right="0.69930555555555596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71"/>
  <sheetViews>
    <sheetView workbookViewId="0">
      <selection activeCell="F20" sqref="F20"/>
    </sheetView>
  </sheetViews>
  <sheetFormatPr defaultColWidth="9.140625" defaultRowHeight="15"/>
  <cols>
    <col min="1" max="1" width="9.140625" style="140"/>
    <col min="2" max="2" width="30.5703125" style="140" customWidth="1"/>
    <col min="3" max="3" width="122.85546875" style="140" customWidth="1"/>
    <col min="4" max="4" width="34.42578125" style="140"/>
    <col min="5" max="5" width="64.85546875" style="140" customWidth="1"/>
    <col min="6" max="6" width="58.42578125" style="140" customWidth="1"/>
    <col min="7" max="7" width="9.140625" style="140"/>
    <col min="8" max="8" width="12.140625" style="140"/>
    <col min="9" max="16384" width="9.140625" style="140"/>
  </cols>
  <sheetData>
    <row r="1" spans="1:11" ht="31.5">
      <c r="A1" s="141"/>
      <c r="B1" s="142"/>
      <c r="C1" s="143" t="s">
        <v>1726</v>
      </c>
      <c r="D1" s="141"/>
      <c r="E1" s="141"/>
      <c r="F1" s="141"/>
      <c r="G1" s="141"/>
      <c r="H1" s="141"/>
      <c r="I1" s="141"/>
      <c r="J1" s="141"/>
      <c r="K1" s="141"/>
    </row>
    <row r="2" spans="1:11" ht="29.25">
      <c r="A2" s="141"/>
      <c r="B2" s="142"/>
      <c r="C2" s="144"/>
      <c r="D2" s="141"/>
      <c r="E2" s="141"/>
      <c r="F2" s="145" t="s">
        <v>1727</v>
      </c>
      <c r="G2" s="141"/>
      <c r="H2" s="141"/>
      <c r="I2" s="141"/>
      <c r="J2" s="141"/>
      <c r="K2" s="141"/>
    </row>
    <row r="3" spans="1:11" ht="33">
      <c r="A3" s="141"/>
      <c r="B3" s="146">
        <v>1</v>
      </c>
      <c r="C3" s="147" t="s">
        <v>1728</v>
      </c>
      <c r="D3" s="148" t="s">
        <v>1729</v>
      </c>
      <c r="E3" s="141"/>
      <c r="F3" s="145" t="s">
        <v>1730</v>
      </c>
      <c r="G3" s="141"/>
      <c r="H3" s="141"/>
      <c r="I3" s="141"/>
      <c r="J3" s="141"/>
      <c r="K3" s="141"/>
    </row>
    <row r="4" spans="1:11" ht="29.25">
      <c r="A4" s="141"/>
      <c r="B4" s="149" t="s">
        <v>1731</v>
      </c>
      <c r="C4" s="150"/>
      <c r="D4" s="151"/>
      <c r="E4" s="114" t="s">
        <v>1732</v>
      </c>
      <c r="F4" s="145" t="s">
        <v>1733</v>
      </c>
      <c r="G4" s="141"/>
      <c r="H4" s="141"/>
      <c r="I4" s="141"/>
      <c r="J4" s="141"/>
      <c r="K4" s="141"/>
    </row>
    <row r="5" spans="1:11" ht="21.75">
      <c r="A5" s="141"/>
      <c r="B5" s="149" t="s">
        <v>533</v>
      </c>
      <c r="C5" s="152" t="s">
        <v>1734</v>
      </c>
      <c r="D5" s="151"/>
      <c r="E5" s="114" t="s">
        <v>1735</v>
      </c>
      <c r="F5" s="141"/>
      <c r="G5" s="141"/>
      <c r="H5" s="141"/>
      <c r="I5" s="141"/>
      <c r="J5" s="141"/>
      <c r="K5" s="141"/>
    </row>
    <row r="6" spans="1:11" ht="43.5">
      <c r="A6" s="141"/>
      <c r="B6" s="149" t="s">
        <v>1736</v>
      </c>
      <c r="C6" s="152" t="s">
        <v>1737</v>
      </c>
      <c r="D6" s="151"/>
      <c r="E6" s="153" t="s">
        <v>1738</v>
      </c>
      <c r="F6" s="141"/>
      <c r="G6" s="141"/>
      <c r="H6" s="141"/>
      <c r="I6" s="141"/>
      <c r="J6" s="141"/>
      <c r="K6" s="141"/>
    </row>
    <row r="7" spans="1:11" ht="20.25">
      <c r="A7" s="141"/>
      <c r="B7" s="149" t="s">
        <v>114</v>
      </c>
      <c r="C7" s="152" t="s">
        <v>1739</v>
      </c>
      <c r="D7" s="151"/>
      <c r="E7" s="141"/>
      <c r="F7" s="141"/>
      <c r="G7" s="141"/>
      <c r="H7" s="141"/>
      <c r="I7" s="141"/>
      <c r="J7" s="141"/>
      <c r="K7" s="141"/>
    </row>
    <row r="8" spans="1:11" ht="20.25">
      <c r="A8" s="141"/>
      <c r="B8" s="149"/>
      <c r="C8" s="152" t="s">
        <v>1740</v>
      </c>
      <c r="D8" s="151"/>
      <c r="E8" s="141"/>
      <c r="F8" s="141"/>
      <c r="G8" s="141"/>
      <c r="H8" s="141"/>
      <c r="I8" s="141"/>
      <c r="J8" s="141"/>
      <c r="K8" s="141"/>
    </row>
    <row r="9" spans="1:11" ht="20.25">
      <c r="A9" s="141"/>
      <c r="B9" s="149"/>
      <c r="C9" s="152" t="s">
        <v>1741</v>
      </c>
      <c r="D9" s="151"/>
      <c r="E9" s="141"/>
      <c r="F9" s="141"/>
      <c r="G9" s="141"/>
      <c r="H9" s="141"/>
      <c r="I9" s="141"/>
      <c r="J9" s="141"/>
      <c r="K9" s="141"/>
    </row>
    <row r="10" spans="1:11" ht="20.25">
      <c r="A10" s="141"/>
      <c r="B10" s="149" t="s">
        <v>1742</v>
      </c>
      <c r="C10" s="154">
        <v>391740</v>
      </c>
      <c r="D10" s="151"/>
      <c r="E10" s="141"/>
      <c r="F10" s="141"/>
      <c r="G10" s="141"/>
      <c r="H10" s="141"/>
      <c r="I10" s="141"/>
      <c r="J10" s="141"/>
      <c r="K10" s="141"/>
    </row>
    <row r="11" spans="1:11" ht="20.25">
      <c r="A11" s="141"/>
      <c r="B11" s="149" t="s">
        <v>1572</v>
      </c>
      <c r="C11" s="155" t="s">
        <v>1743</v>
      </c>
      <c r="D11" s="151"/>
      <c r="E11" s="141"/>
      <c r="F11" s="141"/>
      <c r="G11" s="141"/>
      <c r="H11" s="141"/>
      <c r="I11" s="141"/>
      <c r="J11" s="141"/>
      <c r="K11" s="141"/>
    </row>
    <row r="12" spans="1:11" ht="20.25">
      <c r="A12" s="141"/>
      <c r="B12" s="149" t="s">
        <v>48</v>
      </c>
      <c r="C12" s="156">
        <v>90012000</v>
      </c>
      <c r="D12" s="151"/>
      <c r="E12" s="141"/>
      <c r="F12" s="141"/>
      <c r="G12" s="141"/>
      <c r="H12" s="141"/>
      <c r="I12" s="141"/>
      <c r="J12" s="141"/>
      <c r="K12" s="141"/>
    </row>
    <row r="13" spans="1:11" ht="20.25">
      <c r="A13" s="141"/>
      <c r="B13" s="149" t="s">
        <v>1744</v>
      </c>
      <c r="C13" s="154" t="s">
        <v>1570</v>
      </c>
      <c r="D13" s="151"/>
      <c r="E13" s="141"/>
      <c r="F13" s="141"/>
      <c r="G13" s="141"/>
      <c r="H13" s="141"/>
      <c r="I13" s="141"/>
      <c r="J13" s="141"/>
      <c r="K13" s="141"/>
    </row>
    <row r="14" spans="1:11" ht="20.25">
      <c r="A14" s="141"/>
      <c r="B14" s="149" t="s">
        <v>1745</v>
      </c>
      <c r="C14" s="154"/>
      <c r="D14" s="151"/>
      <c r="E14" s="141"/>
      <c r="F14" s="141"/>
      <c r="G14" s="141"/>
      <c r="H14" s="141"/>
      <c r="I14" s="141"/>
      <c r="J14" s="141"/>
      <c r="K14" s="141"/>
    </row>
    <row r="15" spans="1:11" ht="20.25">
      <c r="A15" s="141"/>
      <c r="B15" s="149" t="s">
        <v>1746</v>
      </c>
      <c r="C15" s="156" t="s">
        <v>1747</v>
      </c>
      <c r="D15" s="151"/>
      <c r="E15" s="141"/>
      <c r="F15" s="141"/>
      <c r="G15" s="141"/>
      <c r="H15" s="141"/>
      <c r="I15" s="141"/>
      <c r="J15" s="141"/>
      <c r="K15" s="141"/>
    </row>
    <row r="16" spans="1:11" ht="20.25">
      <c r="A16" s="141"/>
      <c r="B16" s="149" t="s">
        <v>1748</v>
      </c>
      <c r="C16" s="154"/>
      <c r="D16" s="151"/>
      <c r="E16" s="141"/>
      <c r="F16" s="141"/>
      <c r="G16" s="141"/>
      <c r="H16" s="141"/>
      <c r="I16" s="141"/>
      <c r="J16" s="141"/>
      <c r="K16" s="141"/>
    </row>
    <row r="17" spans="1:11" ht="20.25">
      <c r="A17" s="141"/>
      <c r="B17" s="157"/>
      <c r="D17" s="141"/>
      <c r="E17" s="141"/>
      <c r="F17" s="141"/>
      <c r="G17" s="141"/>
      <c r="H17" s="141"/>
      <c r="I17" s="141"/>
      <c r="J17" s="141"/>
      <c r="K17" s="141"/>
    </row>
    <row r="18" spans="1:11" ht="20.25">
      <c r="A18" s="141"/>
      <c r="B18" s="158"/>
      <c r="D18" s="141"/>
      <c r="E18" s="141"/>
      <c r="F18" s="141"/>
      <c r="G18" s="141"/>
      <c r="H18" s="141"/>
      <c r="I18" s="141"/>
      <c r="J18" s="141"/>
      <c r="K18" s="141"/>
    </row>
    <row r="19" spans="1:11" ht="20.25">
      <c r="A19" s="141"/>
      <c r="B19" s="158"/>
      <c r="D19" s="141"/>
      <c r="E19" s="141"/>
      <c r="F19" s="141"/>
      <c r="G19" s="141"/>
      <c r="H19" s="141"/>
      <c r="I19" s="141"/>
      <c r="J19" s="141"/>
      <c r="K19" s="141"/>
    </row>
    <row r="20" spans="1:11" ht="20.25">
      <c r="A20" s="141"/>
      <c r="B20" s="158"/>
      <c r="C20" s="144"/>
      <c r="D20" s="141"/>
      <c r="E20" s="141"/>
      <c r="F20" s="141"/>
      <c r="G20" s="141"/>
      <c r="H20" s="141"/>
      <c r="I20" s="141"/>
      <c r="J20" s="141"/>
      <c r="K20" s="141"/>
    </row>
    <row r="21" spans="1:11" ht="16.5">
      <c r="A21" s="141"/>
      <c r="B21" s="142"/>
      <c r="C21" s="144"/>
      <c r="D21" s="141"/>
      <c r="F21" s="141"/>
      <c r="G21" s="141"/>
      <c r="H21" s="141"/>
      <c r="I21" s="141"/>
      <c r="J21" s="141"/>
      <c r="K21" s="141"/>
    </row>
    <row r="22" spans="1:11" ht="33">
      <c r="A22" s="141"/>
      <c r="B22" s="146">
        <v>2</v>
      </c>
      <c r="C22" s="147" t="s">
        <v>1749</v>
      </c>
      <c r="D22" s="148" t="s">
        <v>1750</v>
      </c>
      <c r="F22" s="141"/>
      <c r="G22" s="141"/>
      <c r="H22" s="141"/>
      <c r="I22" s="141"/>
      <c r="J22" s="141"/>
      <c r="K22" s="141"/>
    </row>
    <row r="23" spans="1:11" s="139" customFormat="1" ht="29.25">
      <c r="A23" s="159"/>
      <c r="B23" s="149" t="s">
        <v>1731</v>
      </c>
      <c r="C23" s="150" t="s">
        <v>1751</v>
      </c>
      <c r="D23" s="151"/>
      <c r="E23" s="114" t="s">
        <v>1732</v>
      </c>
      <c r="F23" s="159"/>
      <c r="G23" s="159"/>
      <c r="H23" s="159"/>
      <c r="I23" s="159"/>
      <c r="J23" s="159"/>
      <c r="K23" s="159"/>
    </row>
    <row r="24" spans="1:11" s="139" customFormat="1" ht="21.75">
      <c r="A24" s="159"/>
      <c r="B24" s="149" t="s">
        <v>1736</v>
      </c>
      <c r="C24" s="152" t="s">
        <v>1737</v>
      </c>
      <c r="D24" s="151"/>
      <c r="E24" s="114" t="s">
        <v>1735</v>
      </c>
      <c r="F24" s="159"/>
      <c r="G24" s="159"/>
      <c r="H24" s="159"/>
      <c r="I24" s="159"/>
      <c r="J24" s="159"/>
      <c r="K24" s="159"/>
    </row>
    <row r="25" spans="1:11" s="139" customFormat="1" ht="43.5">
      <c r="A25" s="159"/>
      <c r="B25" s="149" t="s">
        <v>1752</v>
      </c>
      <c r="C25" s="152" t="s">
        <v>1734</v>
      </c>
      <c r="D25" s="151"/>
      <c r="E25" s="153" t="s">
        <v>1738</v>
      </c>
      <c r="F25" s="159"/>
      <c r="G25" s="159"/>
      <c r="H25" s="159"/>
      <c r="I25" s="159"/>
      <c r="J25" s="159"/>
      <c r="K25" s="159"/>
    </row>
    <row r="26" spans="1:11" s="139" customFormat="1" ht="21.75">
      <c r="A26" s="159"/>
      <c r="B26" s="149" t="s">
        <v>1753</v>
      </c>
      <c r="C26" s="152" t="s">
        <v>1739</v>
      </c>
      <c r="D26" s="151"/>
      <c r="E26" s="160"/>
      <c r="F26" s="159"/>
      <c r="G26" s="159"/>
      <c r="H26" s="159"/>
      <c r="I26" s="159"/>
      <c r="J26" s="159"/>
      <c r="K26" s="159"/>
    </row>
    <row r="27" spans="1:11" s="139" customFormat="1" ht="21.75">
      <c r="A27" s="159"/>
      <c r="B27" s="149"/>
      <c r="C27" s="152" t="s">
        <v>1740</v>
      </c>
      <c r="D27" s="151"/>
      <c r="E27" s="160"/>
      <c r="F27" s="159"/>
      <c r="G27" s="159"/>
      <c r="H27" s="159"/>
      <c r="I27" s="159"/>
      <c r="J27" s="159"/>
      <c r="K27" s="159"/>
    </row>
    <row r="28" spans="1:11" s="139" customFormat="1" ht="21.75">
      <c r="A28" s="159"/>
      <c r="B28" s="149"/>
      <c r="C28" s="152" t="s">
        <v>1741</v>
      </c>
      <c r="D28" s="151"/>
      <c r="E28" s="160"/>
      <c r="F28" s="159"/>
      <c r="G28" s="159"/>
      <c r="H28" s="159"/>
      <c r="I28" s="159"/>
      <c r="J28" s="159"/>
      <c r="K28" s="159"/>
    </row>
    <row r="29" spans="1:11" s="139" customFormat="1" ht="21.75">
      <c r="A29" s="159"/>
      <c r="B29" s="149" t="s">
        <v>1742</v>
      </c>
      <c r="C29" s="154">
        <v>391740</v>
      </c>
      <c r="D29" s="151"/>
      <c r="E29" s="160"/>
      <c r="F29" s="159"/>
      <c r="G29" s="159"/>
      <c r="H29" s="159"/>
      <c r="I29" s="159"/>
      <c r="J29" s="159"/>
      <c r="K29" s="159"/>
    </row>
    <row r="30" spans="1:11" s="139" customFormat="1" ht="21.75">
      <c r="A30" s="159"/>
      <c r="B30" s="149" t="s">
        <v>1572</v>
      </c>
      <c r="C30" s="155" t="s">
        <v>1743</v>
      </c>
      <c r="D30" s="151"/>
      <c r="E30" s="160"/>
      <c r="F30" s="159"/>
      <c r="G30" s="159"/>
      <c r="H30" s="159"/>
      <c r="I30" s="159"/>
      <c r="J30" s="159"/>
      <c r="K30" s="159"/>
    </row>
    <row r="31" spans="1:11" s="139" customFormat="1" ht="21.75">
      <c r="A31" s="159"/>
      <c r="B31" s="149" t="s">
        <v>48</v>
      </c>
      <c r="C31" s="156">
        <v>90012000</v>
      </c>
      <c r="D31" s="151"/>
      <c r="E31" s="160"/>
      <c r="F31" s="159"/>
      <c r="G31" s="159"/>
      <c r="H31" s="159"/>
      <c r="I31" s="159"/>
      <c r="J31" s="159"/>
      <c r="K31" s="159"/>
    </row>
    <row r="32" spans="1:11" s="139" customFormat="1" ht="21.75">
      <c r="A32" s="159"/>
      <c r="B32" s="149" t="s">
        <v>1744</v>
      </c>
      <c r="C32" s="154" t="s">
        <v>1754</v>
      </c>
      <c r="D32" s="151"/>
      <c r="E32" s="160"/>
      <c r="F32" s="159"/>
      <c r="G32" s="159"/>
      <c r="H32" s="159"/>
      <c r="I32" s="159"/>
      <c r="J32" s="159"/>
      <c r="K32" s="159"/>
    </row>
    <row r="33" spans="1:11" s="139" customFormat="1" ht="21.75">
      <c r="A33" s="159"/>
      <c r="B33" s="149" t="s">
        <v>1745</v>
      </c>
      <c r="C33" s="154"/>
      <c r="D33" s="151"/>
      <c r="E33" s="160"/>
      <c r="F33" s="159"/>
      <c r="G33" s="159"/>
      <c r="H33" s="159"/>
      <c r="I33" s="159"/>
      <c r="J33" s="159"/>
      <c r="K33" s="159"/>
    </row>
    <row r="34" spans="1:11" s="139" customFormat="1" ht="21.75">
      <c r="A34" s="159"/>
      <c r="B34" s="149" t="s">
        <v>1746</v>
      </c>
      <c r="C34" s="156" t="s">
        <v>1747</v>
      </c>
      <c r="D34" s="151"/>
      <c r="E34" s="160"/>
      <c r="F34" s="159"/>
      <c r="G34" s="159"/>
      <c r="H34" s="159"/>
      <c r="I34" s="159"/>
      <c r="J34" s="159"/>
      <c r="K34" s="159"/>
    </row>
    <row r="35" spans="1:11" s="139" customFormat="1" ht="21.75">
      <c r="A35" s="159"/>
      <c r="B35" s="149" t="s">
        <v>1748</v>
      </c>
      <c r="C35" s="154" t="s">
        <v>1755</v>
      </c>
      <c r="D35" s="151"/>
      <c r="E35" s="160"/>
      <c r="F35" s="159"/>
      <c r="G35" s="159"/>
      <c r="H35" s="159"/>
      <c r="I35" s="159"/>
      <c r="J35" s="159"/>
      <c r="K35" s="159"/>
    </row>
    <row r="36" spans="1:11" s="139" customFormat="1" ht="21.75">
      <c r="A36" s="159"/>
      <c r="B36" s="161"/>
      <c r="C36" s="162"/>
      <c r="D36" s="162"/>
      <c r="E36" s="160"/>
      <c r="F36" s="159"/>
      <c r="G36" s="159"/>
      <c r="H36" s="159"/>
      <c r="I36" s="159"/>
      <c r="J36" s="159"/>
      <c r="K36" s="159"/>
    </row>
    <row r="37" spans="1:11" ht="16.5">
      <c r="A37" s="141"/>
      <c r="B37" s="142"/>
      <c r="C37" s="144"/>
      <c r="D37" s="141"/>
      <c r="E37" s="141"/>
      <c r="F37" s="141"/>
      <c r="G37" s="141"/>
      <c r="H37" s="141"/>
      <c r="I37" s="141"/>
      <c r="J37" s="141"/>
      <c r="K37" s="141"/>
    </row>
    <row r="38" spans="1:11" ht="30">
      <c r="A38" s="149" t="s">
        <v>1756</v>
      </c>
      <c r="B38" s="152">
        <v>3</v>
      </c>
      <c r="C38" s="147" t="s">
        <v>1757</v>
      </c>
      <c r="D38" s="152"/>
      <c r="E38" s="141"/>
      <c r="F38" s="141"/>
      <c r="G38" s="141"/>
      <c r="H38" s="141"/>
      <c r="I38" s="141"/>
      <c r="J38" s="141"/>
      <c r="K38" s="141"/>
    </row>
    <row r="39" spans="1:11" ht="30">
      <c r="A39" s="149"/>
      <c r="B39" s="154"/>
      <c r="C39" s="147" t="s">
        <v>1758</v>
      </c>
      <c r="D39" s="154" t="s">
        <v>1758</v>
      </c>
      <c r="E39" s="142"/>
      <c r="F39" s="142"/>
      <c r="G39" s="142"/>
      <c r="H39" s="142"/>
      <c r="I39" s="142"/>
      <c r="J39" s="141"/>
      <c r="K39" s="141"/>
    </row>
    <row r="40" spans="1:11" ht="20.25">
      <c r="A40" s="149"/>
      <c r="B40" s="155"/>
      <c r="C40" s="149" t="s">
        <v>1759</v>
      </c>
      <c r="D40" s="155"/>
      <c r="E40" s="142" t="s">
        <v>1760</v>
      </c>
      <c r="F40" s="142"/>
      <c r="G40" s="142"/>
      <c r="H40" s="142" t="s">
        <v>1761</v>
      </c>
      <c r="I40" s="142"/>
      <c r="J40" s="141"/>
      <c r="K40" s="141"/>
    </row>
    <row r="41" spans="1:11" ht="20.25">
      <c r="A41" s="149"/>
      <c r="B41" s="156"/>
      <c r="C41" s="149"/>
      <c r="D41" s="156"/>
      <c r="E41" s="142"/>
      <c r="F41" s="142"/>
      <c r="G41" s="142"/>
      <c r="H41" s="142"/>
      <c r="I41" s="142"/>
      <c r="J41" s="141"/>
      <c r="K41" s="141"/>
    </row>
    <row r="42" spans="1:11" ht="20.25">
      <c r="A42" s="149"/>
      <c r="B42" s="154"/>
      <c r="C42" s="149" t="s">
        <v>1762</v>
      </c>
      <c r="D42" s="154"/>
      <c r="E42" s="142"/>
      <c r="F42" s="142"/>
      <c r="G42" s="142"/>
      <c r="H42" s="142"/>
      <c r="I42" s="142"/>
      <c r="J42" s="141"/>
      <c r="K42" s="141"/>
    </row>
    <row r="43" spans="1:11" ht="20.25">
      <c r="A43" s="149"/>
      <c r="B43" s="154"/>
      <c r="C43" s="149" t="s">
        <v>1727</v>
      </c>
      <c r="D43" s="154"/>
      <c r="E43" s="142"/>
      <c r="F43" s="142"/>
      <c r="G43" s="142"/>
      <c r="H43" s="142"/>
      <c r="I43" s="142"/>
      <c r="J43" s="141"/>
      <c r="K43" s="141"/>
    </row>
    <row r="44" spans="1:11" ht="20.25">
      <c r="A44" s="149"/>
      <c r="B44" s="156"/>
      <c r="C44" s="149" t="s">
        <v>1763</v>
      </c>
      <c r="D44" s="156"/>
      <c r="E44" s="142"/>
      <c r="F44" s="142"/>
      <c r="G44" s="142"/>
      <c r="H44" s="142"/>
      <c r="I44" s="142"/>
      <c r="J44" s="141"/>
      <c r="K44" s="141"/>
    </row>
    <row r="45" spans="1:11" ht="20.25">
      <c r="A45" s="149"/>
      <c r="B45" s="154"/>
      <c r="C45" s="151"/>
      <c r="D45" s="149"/>
      <c r="E45" s="142" t="s">
        <v>1764</v>
      </c>
      <c r="F45" s="142">
        <v>6</v>
      </c>
      <c r="G45" s="142"/>
      <c r="H45" s="142"/>
      <c r="I45" s="142"/>
      <c r="J45" s="141"/>
      <c r="K45" s="141"/>
    </row>
    <row r="46" spans="1:11" ht="20.25">
      <c r="A46" s="149"/>
      <c r="B46" s="155">
        <v>4</v>
      </c>
      <c r="C46" s="151" t="s">
        <v>1765</v>
      </c>
      <c r="D46" s="149"/>
      <c r="E46" s="142" t="s">
        <v>1766</v>
      </c>
      <c r="F46" s="142">
        <v>9</v>
      </c>
      <c r="G46" s="142"/>
      <c r="H46" s="142"/>
      <c r="I46" s="142"/>
      <c r="J46" s="141"/>
      <c r="K46" s="141"/>
    </row>
    <row r="47" spans="1:11" ht="20.25">
      <c r="A47" s="149"/>
      <c r="B47" s="156"/>
      <c r="C47" s="151" t="s">
        <v>1767</v>
      </c>
      <c r="D47" s="149"/>
      <c r="E47" s="142"/>
      <c r="F47" s="142"/>
      <c r="G47" s="142"/>
      <c r="H47" s="142"/>
      <c r="I47" s="142"/>
      <c r="J47" s="141"/>
      <c r="K47" s="141"/>
    </row>
    <row r="48" spans="1:11" ht="20.25">
      <c r="A48" s="149"/>
      <c r="B48" s="154"/>
      <c r="C48" s="151" t="s">
        <v>1768</v>
      </c>
      <c r="D48" s="149"/>
      <c r="E48" s="142" t="s">
        <v>1766</v>
      </c>
      <c r="F48" s="142">
        <f>3*3</f>
        <v>9</v>
      </c>
      <c r="G48" s="142"/>
      <c r="H48" s="142"/>
      <c r="I48" s="142"/>
      <c r="J48" s="141"/>
      <c r="K48" s="141"/>
    </row>
    <row r="49" spans="1:11" ht="20.25">
      <c r="A49" s="149"/>
      <c r="B49" s="154"/>
      <c r="C49" s="151" t="s">
        <v>1769</v>
      </c>
      <c r="D49" s="149"/>
      <c r="E49" s="142" t="s">
        <v>1764</v>
      </c>
      <c r="F49" s="142">
        <v>6</v>
      </c>
      <c r="G49" s="142"/>
      <c r="H49" s="142"/>
      <c r="I49" s="142"/>
      <c r="J49" s="141"/>
      <c r="K49" s="141"/>
    </row>
    <row r="50" spans="1:11" ht="20.25">
      <c r="A50" s="149"/>
      <c r="B50" s="156"/>
      <c r="C50" s="151" t="s">
        <v>1770</v>
      </c>
      <c r="D50" s="149"/>
      <c r="E50" s="142"/>
      <c r="F50" s="142">
        <f>F48+F49</f>
        <v>15</v>
      </c>
      <c r="G50" s="142"/>
      <c r="H50" s="142"/>
      <c r="I50" s="142"/>
      <c r="J50" s="141"/>
      <c r="K50" s="141"/>
    </row>
    <row r="51" spans="1:11" ht="20.25">
      <c r="A51" s="149"/>
      <c r="B51" s="154"/>
      <c r="C51" s="151"/>
      <c r="D51" s="149"/>
      <c r="E51" s="142"/>
      <c r="F51" s="142"/>
      <c r="G51" s="142"/>
      <c r="H51" s="142"/>
      <c r="I51" s="142"/>
      <c r="J51" s="141"/>
      <c r="K51" s="141"/>
    </row>
    <row r="52" spans="1:11" ht="30">
      <c r="A52" s="146"/>
      <c r="B52" s="163">
        <v>5</v>
      </c>
      <c r="C52" s="148" t="s">
        <v>1771</v>
      </c>
      <c r="D52" s="146"/>
      <c r="E52" s="142" t="s">
        <v>1761</v>
      </c>
      <c r="F52" s="142"/>
      <c r="G52" s="142"/>
      <c r="H52" s="142"/>
      <c r="I52" s="142"/>
      <c r="J52" s="141"/>
      <c r="K52" s="141"/>
    </row>
    <row r="53" spans="1:11" ht="29.25">
      <c r="A53" s="149"/>
      <c r="B53" s="150"/>
      <c r="C53" s="151" t="s">
        <v>1772</v>
      </c>
      <c r="D53" s="149">
        <v>6</v>
      </c>
      <c r="E53" s="142">
        <v>15</v>
      </c>
      <c r="F53" s="142">
        <v>9</v>
      </c>
      <c r="G53" s="142"/>
      <c r="H53" s="142"/>
      <c r="I53" s="142"/>
      <c r="J53" s="141"/>
      <c r="K53" s="141"/>
    </row>
    <row r="54" spans="1:11" ht="20.25">
      <c r="A54" s="149"/>
      <c r="B54" s="152"/>
      <c r="C54" s="151" t="s">
        <v>1773</v>
      </c>
      <c r="D54" s="149"/>
      <c r="E54" s="142" t="s">
        <v>1774</v>
      </c>
      <c r="F54" s="142"/>
      <c r="G54" s="142"/>
      <c r="H54" s="142"/>
      <c r="I54" s="142"/>
      <c r="J54" s="141"/>
      <c r="K54" s="141"/>
    </row>
    <row r="55" spans="1:11" ht="20.25">
      <c r="A55" s="149"/>
      <c r="B55" s="152"/>
      <c r="C55" s="151" t="s">
        <v>1775</v>
      </c>
      <c r="D55" s="149"/>
      <c r="E55" s="142"/>
      <c r="F55" s="142"/>
      <c r="G55" s="142"/>
      <c r="H55" s="142"/>
      <c r="I55" s="142"/>
      <c r="J55" s="141"/>
      <c r="K55" s="141"/>
    </row>
    <row r="56" spans="1:11" ht="20.25">
      <c r="A56" s="149"/>
      <c r="B56" s="152"/>
      <c r="C56" s="151" t="s">
        <v>1776</v>
      </c>
      <c r="D56" s="149">
        <v>7</v>
      </c>
      <c r="E56" s="142">
        <v>5</v>
      </c>
      <c r="F56" s="142">
        <v>9</v>
      </c>
      <c r="G56" s="142"/>
      <c r="H56" s="142"/>
      <c r="I56" s="142"/>
      <c r="J56" s="141"/>
      <c r="K56" s="141"/>
    </row>
    <row r="57" spans="1:11" ht="20.25">
      <c r="A57" s="149"/>
      <c r="B57" s="152"/>
      <c r="C57" s="151" t="s">
        <v>1777</v>
      </c>
      <c r="D57" s="149"/>
      <c r="E57" s="142"/>
      <c r="F57" s="142"/>
      <c r="G57" s="142"/>
      <c r="H57" s="142"/>
      <c r="I57" s="142"/>
      <c r="J57" s="141"/>
      <c r="K57" s="141"/>
    </row>
    <row r="58" spans="1:11" ht="20.25">
      <c r="A58" s="149"/>
      <c r="B58" s="152"/>
      <c r="C58" s="151" t="s">
        <v>1778</v>
      </c>
      <c r="D58" s="149"/>
      <c r="E58" s="142"/>
      <c r="F58" s="164"/>
      <c r="G58" s="142"/>
      <c r="H58" s="142"/>
      <c r="I58" s="142"/>
      <c r="J58" s="141"/>
      <c r="K58" s="141"/>
    </row>
    <row r="59" spans="1:11" ht="20.25">
      <c r="A59" s="149"/>
      <c r="B59" s="154"/>
      <c r="C59" s="151" t="s">
        <v>1779</v>
      </c>
      <c r="D59" s="149"/>
      <c r="E59" s="142"/>
      <c r="F59" s="142"/>
      <c r="G59" s="142"/>
      <c r="H59" s="142"/>
      <c r="I59" s="142"/>
      <c r="J59" s="141"/>
      <c r="K59" s="141"/>
    </row>
    <row r="60" spans="1:11" ht="16.5">
      <c r="A60" s="141"/>
      <c r="B60" s="142"/>
      <c r="C60" s="144"/>
      <c r="D60" s="142"/>
      <c r="E60" s="142"/>
      <c r="F60" s="142"/>
      <c r="G60" s="142"/>
      <c r="H60" s="142"/>
      <c r="I60" s="142"/>
      <c r="J60" s="141"/>
      <c r="K60" s="141"/>
    </row>
    <row r="61" spans="1:11" ht="16.5">
      <c r="A61" s="141"/>
      <c r="B61" s="142"/>
      <c r="C61" s="144"/>
      <c r="D61" s="142"/>
      <c r="E61" s="142"/>
      <c r="F61" s="142"/>
      <c r="G61" s="142"/>
      <c r="H61" s="142"/>
      <c r="I61" s="142"/>
      <c r="J61" s="141"/>
      <c r="K61" s="141"/>
    </row>
    <row r="62" spans="1:11" ht="16.5">
      <c r="A62" s="141"/>
      <c r="B62" s="142">
        <v>6</v>
      </c>
      <c r="C62" s="165" t="s">
        <v>1780</v>
      </c>
      <c r="D62" s="142"/>
      <c r="E62" s="142"/>
      <c r="F62" s="142"/>
      <c r="G62" s="142"/>
      <c r="H62" s="142"/>
      <c r="I62" s="142"/>
      <c r="J62" s="141"/>
      <c r="K62" s="141"/>
    </row>
    <row r="63" spans="1:11" ht="16.5">
      <c r="A63" s="141"/>
      <c r="B63" s="142"/>
      <c r="C63" s="144" t="s">
        <v>1781</v>
      </c>
      <c r="D63" s="142"/>
      <c r="E63" s="142"/>
      <c r="F63" s="142"/>
      <c r="G63" s="142"/>
      <c r="H63" s="142"/>
      <c r="I63" s="142"/>
      <c r="J63" s="141"/>
      <c r="K63" s="141"/>
    </row>
    <row r="64" spans="1:11" ht="16.5">
      <c r="A64" s="141"/>
      <c r="B64" s="142"/>
      <c r="C64" s="144"/>
      <c r="D64" s="142"/>
      <c r="E64" s="142"/>
      <c r="F64" s="142"/>
      <c r="G64" s="142"/>
      <c r="H64" s="142"/>
      <c r="I64" s="142"/>
      <c r="J64" s="141"/>
      <c r="K64" s="141"/>
    </row>
    <row r="65" spans="1:11" ht="16.5">
      <c r="A65" s="141"/>
      <c r="B65" s="142"/>
      <c r="C65" s="144"/>
      <c r="D65" s="142"/>
      <c r="E65" s="142"/>
      <c r="F65" s="142"/>
      <c r="G65" s="142"/>
      <c r="H65" s="142"/>
      <c r="I65" s="142"/>
      <c r="J65" s="141"/>
      <c r="K65" s="141"/>
    </row>
    <row r="66" spans="1:11" ht="16.5">
      <c r="A66" s="141"/>
      <c r="B66" s="142"/>
      <c r="C66" s="144"/>
      <c r="D66" s="142"/>
      <c r="E66" s="142"/>
      <c r="F66" s="142"/>
      <c r="G66" s="142"/>
      <c r="H66" s="142"/>
      <c r="I66" s="142"/>
      <c r="J66" s="141"/>
      <c r="K66" s="141"/>
    </row>
    <row r="67" spans="1:11" ht="16.5">
      <c r="A67" s="141"/>
      <c r="B67" s="142"/>
      <c r="C67" s="144"/>
      <c r="D67" s="141"/>
      <c r="E67" s="141"/>
      <c r="F67" s="141"/>
      <c r="G67" s="141"/>
      <c r="H67" s="141"/>
      <c r="I67" s="141"/>
      <c r="J67" s="141"/>
      <c r="K67" s="141"/>
    </row>
    <row r="68" spans="1:11" ht="16.5">
      <c r="A68" s="141"/>
      <c r="B68" s="142"/>
      <c r="C68" s="144"/>
      <c r="D68" s="141"/>
      <c r="E68" s="141"/>
      <c r="F68" s="141"/>
      <c r="G68" s="141"/>
      <c r="H68" s="141"/>
      <c r="I68" s="141"/>
      <c r="J68" s="141"/>
      <c r="K68" s="141"/>
    </row>
    <row r="69" spans="1:11" ht="16.5">
      <c r="A69" s="141"/>
      <c r="B69" s="142"/>
      <c r="C69" s="144"/>
      <c r="D69" s="141"/>
      <c r="E69" s="141"/>
      <c r="F69" s="141"/>
      <c r="G69" s="166"/>
      <c r="H69" s="167"/>
      <c r="I69" s="141"/>
      <c r="J69" s="141"/>
      <c r="K69" s="141"/>
    </row>
    <row r="70" spans="1:11" ht="16.5">
      <c r="A70" s="141"/>
      <c r="B70" s="142"/>
      <c r="C70" s="144"/>
      <c r="D70" s="141"/>
      <c r="E70" s="141"/>
      <c r="F70" s="141"/>
      <c r="G70" s="141"/>
      <c r="H70" s="141"/>
      <c r="I70" s="141"/>
      <c r="J70" s="141"/>
      <c r="K70" s="141"/>
    </row>
    <row r="71" spans="1:11" ht="16.5">
      <c r="A71" s="141"/>
      <c r="B71" s="142"/>
      <c r="C71" s="144"/>
      <c r="D71" s="141"/>
      <c r="E71" s="141"/>
      <c r="F71" s="141"/>
      <c r="G71" s="141"/>
      <c r="H71" s="141"/>
      <c r="I71" s="141"/>
      <c r="J71" s="168"/>
      <c r="K71" s="141"/>
    </row>
  </sheetData>
  <pageMargins left="0.69930555555555596" right="0.69930555555555596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7"/>
  <sheetViews>
    <sheetView workbookViewId="0">
      <selection activeCell="A20" sqref="A20"/>
    </sheetView>
  </sheetViews>
  <sheetFormatPr defaultColWidth="9.140625" defaultRowHeight="21.75"/>
  <cols>
    <col min="1" max="1" width="7.28515625" style="97"/>
    <col min="2" max="2" width="151.140625" style="97"/>
    <col min="3" max="3" width="4.7109375" style="97"/>
    <col min="4" max="4" width="65.5703125" style="97" customWidth="1"/>
    <col min="5" max="5" width="55.140625" style="134"/>
    <col min="6" max="6" width="30.5703125" style="134"/>
    <col min="7" max="11" width="9.140625" style="134"/>
    <col min="12" max="12" width="84.42578125" style="134"/>
    <col min="13" max="16384" width="9.140625" style="134"/>
  </cols>
  <sheetData>
    <row r="1" spans="1:4">
      <c r="A1" s="135"/>
      <c r="B1" s="135" t="s">
        <v>1782</v>
      </c>
      <c r="D1" s="136" t="s">
        <v>1783</v>
      </c>
    </row>
    <row r="2" spans="1:4">
      <c r="A2" s="135"/>
      <c r="B2" s="135" t="s">
        <v>1784</v>
      </c>
      <c r="D2" s="136" t="s">
        <v>1785</v>
      </c>
    </row>
    <row r="3" spans="1:4">
      <c r="A3" s="97">
        <v>1</v>
      </c>
      <c r="B3" s="137" t="s">
        <v>1786</v>
      </c>
      <c r="D3" s="136" t="s">
        <v>1787</v>
      </c>
    </row>
    <row r="4" spans="1:4" ht="43.5">
      <c r="A4" s="97">
        <v>2</v>
      </c>
      <c r="B4" s="138" t="s">
        <v>1788</v>
      </c>
      <c r="D4" s="136" t="s">
        <v>1789</v>
      </c>
    </row>
    <row r="5" spans="1:4">
      <c r="A5" s="97">
        <v>3</v>
      </c>
      <c r="B5" s="97" t="s">
        <v>1790</v>
      </c>
      <c r="D5" s="136" t="s">
        <v>1791</v>
      </c>
    </row>
    <row r="6" spans="1:4">
      <c r="A6" s="97">
        <v>4</v>
      </c>
      <c r="B6" s="97" t="s">
        <v>1792</v>
      </c>
      <c r="D6" s="136" t="s">
        <v>1793</v>
      </c>
    </row>
    <row r="7" spans="1:4" ht="43.5">
      <c r="A7" s="97">
        <v>4</v>
      </c>
      <c r="B7" s="138" t="s">
        <v>1794</v>
      </c>
      <c r="D7" s="136" t="s">
        <v>1795</v>
      </c>
    </row>
    <row r="8" spans="1:4">
      <c r="A8" s="97">
        <v>5</v>
      </c>
      <c r="B8" s="137" t="s">
        <v>1796</v>
      </c>
      <c r="D8" s="136" t="s">
        <v>1797</v>
      </c>
    </row>
    <row r="9" spans="1:4">
      <c r="A9" s="97">
        <v>6</v>
      </c>
      <c r="B9" s="137" t="s">
        <v>1798</v>
      </c>
      <c r="D9" s="136" t="s">
        <v>1799</v>
      </c>
    </row>
    <row r="10" spans="1:4">
      <c r="A10" s="97">
        <v>7</v>
      </c>
      <c r="B10" s="97" t="s">
        <v>1800</v>
      </c>
    </row>
    <row r="11" spans="1:4">
      <c r="A11" s="97">
        <v>8</v>
      </c>
      <c r="B11" s="97" t="s">
        <v>1801</v>
      </c>
    </row>
    <row r="12" spans="1:4">
      <c r="A12" s="97">
        <v>9</v>
      </c>
      <c r="B12" s="97" t="s">
        <v>1802</v>
      </c>
    </row>
    <row r="13" spans="1:4">
      <c r="A13" s="97">
        <v>10</v>
      </c>
      <c r="B13" s="137" t="s">
        <v>1803</v>
      </c>
    </row>
    <row r="14" spans="1:4">
      <c r="A14" s="97">
        <v>11</v>
      </c>
      <c r="B14" s="97" t="s">
        <v>1804</v>
      </c>
    </row>
    <row r="15" spans="1:4">
      <c r="A15" s="97">
        <v>12</v>
      </c>
      <c r="B15" s="97" t="s">
        <v>1805</v>
      </c>
    </row>
    <row r="16" spans="1:4">
      <c r="A16" s="97">
        <v>13</v>
      </c>
      <c r="B16" s="97" t="s">
        <v>1806</v>
      </c>
    </row>
    <row r="17" spans="1:4">
      <c r="A17" s="97">
        <v>14</v>
      </c>
      <c r="B17" s="97" t="s">
        <v>1807</v>
      </c>
    </row>
    <row r="18" spans="1:4">
      <c r="A18" s="97">
        <v>15</v>
      </c>
      <c r="B18" s="97" t="s">
        <v>1808</v>
      </c>
    </row>
    <row r="23" spans="1:4">
      <c r="A23" s="99"/>
      <c r="B23" s="131" t="s">
        <v>1809</v>
      </c>
      <c r="C23" s="99"/>
      <c r="D23" s="131" t="s">
        <v>1810</v>
      </c>
    </row>
    <row r="24" spans="1:4">
      <c r="A24" s="99">
        <v>1</v>
      </c>
      <c r="B24" s="99" t="s">
        <v>1811</v>
      </c>
      <c r="C24" s="99">
        <v>1</v>
      </c>
      <c r="D24" s="99" t="s">
        <v>1811</v>
      </c>
    </row>
    <row r="25" spans="1:4">
      <c r="A25" s="99">
        <v>2</v>
      </c>
      <c r="B25" s="99" t="s">
        <v>1812</v>
      </c>
      <c r="C25" s="99">
        <v>1</v>
      </c>
      <c r="D25" s="99" t="s">
        <v>1812</v>
      </c>
    </row>
    <row r="26" spans="1:4">
      <c r="A26" s="99">
        <v>2</v>
      </c>
      <c r="B26" s="99" t="s">
        <v>1813</v>
      </c>
      <c r="C26" s="99">
        <v>1</v>
      </c>
      <c r="D26" s="99" t="s">
        <v>1814</v>
      </c>
    </row>
    <row r="27" spans="1:4">
      <c r="A27" s="99">
        <v>2</v>
      </c>
      <c r="B27" s="99" t="s">
        <v>1814</v>
      </c>
      <c r="C27" s="99">
        <v>1</v>
      </c>
      <c r="D27" s="99" t="s">
        <v>1813</v>
      </c>
    </row>
    <row r="30" spans="1:4">
      <c r="B30" s="99" t="s">
        <v>1815</v>
      </c>
    </row>
    <row r="31" spans="1:4">
      <c r="B31" s="99"/>
    </row>
    <row r="32" spans="1:4">
      <c r="B32" s="99" t="s">
        <v>1816</v>
      </c>
    </row>
    <row r="33" spans="2:2">
      <c r="B33" s="99" t="s">
        <v>1817</v>
      </c>
    </row>
    <row r="34" spans="2:2">
      <c r="B34" s="99" t="s">
        <v>1818</v>
      </c>
    </row>
    <row r="35" spans="2:2">
      <c r="B35" s="99" t="s">
        <v>1819</v>
      </c>
    </row>
    <row r="37" spans="2:2">
      <c r="B37" s="131" t="s">
        <v>1820</v>
      </c>
    </row>
    <row r="38" spans="2:2">
      <c r="B38" s="99" t="s">
        <v>1821</v>
      </c>
    </row>
    <row r="39" spans="2:2">
      <c r="B39" s="99" t="s">
        <v>1822</v>
      </c>
    </row>
    <row r="41" spans="2:2">
      <c r="B41" s="134" t="s">
        <v>1823</v>
      </c>
    </row>
    <row r="42" spans="2:2">
      <c r="B42" s="134" t="s">
        <v>1824</v>
      </c>
    </row>
    <row r="43" spans="2:2">
      <c r="B43" s="134" t="s">
        <v>1825</v>
      </c>
    </row>
    <row r="44" spans="2:2">
      <c r="B44" s="134" t="s">
        <v>1826</v>
      </c>
    </row>
    <row r="45" spans="2:2">
      <c r="B45" s="134" t="s">
        <v>1827</v>
      </c>
    </row>
    <row r="46" spans="2:2">
      <c r="B46" s="134" t="s">
        <v>1828</v>
      </c>
    </row>
    <row r="47" spans="2:2">
      <c r="B47" s="134" t="s">
        <v>1829</v>
      </c>
    </row>
  </sheetData>
  <pageMargins left="0.69930555555555596" right="0.69930555555555596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23"/>
  <sheetViews>
    <sheetView zoomScale="85" zoomScaleNormal="85" workbookViewId="0"/>
  </sheetViews>
  <sheetFormatPr defaultColWidth="9.140625" defaultRowHeight="21.75"/>
  <cols>
    <col min="1" max="1" width="91.5703125" style="107" customWidth="1"/>
    <col min="2" max="2" width="90.85546875" style="107"/>
    <col min="3" max="3" width="27.42578125" style="107"/>
    <col min="4" max="4" width="18" style="107"/>
    <col min="5" max="5" width="24.85546875" style="107"/>
    <col min="6" max="16384" width="9.140625" style="107"/>
  </cols>
  <sheetData>
    <row r="1" spans="1:5">
      <c r="A1" s="108" t="s">
        <v>1237</v>
      </c>
      <c r="B1" s="109" t="s">
        <v>1830</v>
      </c>
      <c r="C1" s="109" t="s">
        <v>1831</v>
      </c>
      <c r="D1" s="110" t="s">
        <v>640</v>
      </c>
      <c r="E1" s="110" t="s">
        <v>1294</v>
      </c>
    </row>
    <row r="2" spans="1:5">
      <c r="A2" s="111" t="s">
        <v>567</v>
      </c>
      <c r="B2" s="112" t="s">
        <v>568</v>
      </c>
      <c r="C2" s="112" t="s">
        <v>1832</v>
      </c>
      <c r="D2" s="110" t="s">
        <v>549</v>
      </c>
      <c r="E2" s="113"/>
    </row>
    <row r="3" spans="1:5">
      <c r="A3" s="111" t="s">
        <v>648</v>
      </c>
      <c r="B3" s="112" t="s">
        <v>540</v>
      </c>
      <c r="C3" s="112" t="s">
        <v>541</v>
      </c>
      <c r="D3" s="110" t="s">
        <v>15</v>
      </c>
      <c r="E3" s="113"/>
    </row>
    <row r="4" spans="1:5">
      <c r="A4" s="111" t="s">
        <v>649</v>
      </c>
      <c r="B4" s="112" t="s">
        <v>545</v>
      </c>
      <c r="C4" s="112" t="s">
        <v>546</v>
      </c>
      <c r="D4" s="110"/>
      <c r="E4" s="113"/>
    </row>
    <row r="5" spans="1:5">
      <c r="A5" s="111" t="s">
        <v>650</v>
      </c>
      <c r="B5" s="112" t="s">
        <v>552</v>
      </c>
      <c r="C5" s="112" t="s">
        <v>554</v>
      </c>
      <c r="D5" s="114"/>
    </row>
    <row r="6" spans="1:5">
      <c r="A6" s="111" t="s">
        <v>1378</v>
      </c>
      <c r="B6" s="112" t="s">
        <v>557</v>
      </c>
      <c r="C6" s="112" t="s">
        <v>558</v>
      </c>
    </row>
    <row r="7" spans="1:5" s="106" customFormat="1">
      <c r="A7" s="115"/>
      <c r="B7" s="115"/>
      <c r="C7" s="116"/>
    </row>
    <row r="8" spans="1:5" s="106" customFormat="1">
      <c r="B8" s="115"/>
      <c r="C8" s="116"/>
    </row>
    <row r="9" spans="1:5" s="106" customFormat="1">
      <c r="A9" s="106">
        <v>450</v>
      </c>
      <c r="B9" s="115"/>
      <c r="C9" s="116"/>
    </row>
    <row r="10" spans="1:5" s="106" customFormat="1">
      <c r="B10" s="115"/>
      <c r="C10" s="116"/>
    </row>
    <row r="11" spans="1:5">
      <c r="C11" s="116" t="s">
        <v>1833</v>
      </c>
      <c r="D11" s="117"/>
      <c r="E11" s="97">
        <v>430</v>
      </c>
    </row>
    <row r="12" spans="1:5">
      <c r="A12" s="118"/>
      <c r="C12" s="119" t="s">
        <v>1834</v>
      </c>
      <c r="D12" s="117"/>
      <c r="E12" s="97">
        <v>431</v>
      </c>
    </row>
    <row r="13" spans="1:5" ht="37.5">
      <c r="A13" s="120"/>
      <c r="B13" s="120"/>
      <c r="C13" s="121" t="s">
        <v>1835</v>
      </c>
      <c r="D13" s="117"/>
      <c r="E13" s="97">
        <v>432</v>
      </c>
    </row>
    <row r="14" spans="1:5" ht="37.5">
      <c r="A14" s="120"/>
      <c r="B14" s="120"/>
      <c r="C14" s="122" t="s">
        <v>1836</v>
      </c>
      <c r="D14" s="123" t="s">
        <v>1837</v>
      </c>
      <c r="E14" s="97">
        <v>433</v>
      </c>
    </row>
    <row r="15" spans="1:5" ht="37.5">
      <c r="A15" s="120"/>
      <c r="B15" s="120"/>
      <c r="C15" s="122" t="s">
        <v>1838</v>
      </c>
      <c r="D15" s="123" t="s">
        <v>1839</v>
      </c>
      <c r="E15" s="97">
        <v>434</v>
      </c>
    </row>
    <row r="16" spans="1:5" ht="37.5">
      <c r="A16" s="120"/>
      <c r="B16" s="120"/>
      <c r="C16" s="122" t="s">
        <v>1840</v>
      </c>
      <c r="D16" s="117"/>
      <c r="E16" s="97">
        <v>435</v>
      </c>
    </row>
    <row r="17" spans="1:5">
      <c r="A17" s="124" t="s">
        <v>1841</v>
      </c>
      <c r="B17" s="124">
        <v>1</v>
      </c>
      <c r="C17" s="122" t="s">
        <v>1842</v>
      </c>
      <c r="D17" s="125" t="s">
        <v>1843</v>
      </c>
      <c r="E17" s="97">
        <v>436</v>
      </c>
    </row>
    <row r="18" spans="1:5">
      <c r="A18" s="124" t="s">
        <v>1844</v>
      </c>
      <c r="B18" s="124">
        <v>1</v>
      </c>
      <c r="C18" s="119" t="s">
        <v>549</v>
      </c>
      <c r="D18" s="117"/>
      <c r="E18" s="97">
        <v>437</v>
      </c>
    </row>
    <row r="19" spans="1:5">
      <c r="A19" s="126" t="s">
        <v>1845</v>
      </c>
      <c r="B19" s="124">
        <v>1</v>
      </c>
      <c r="C19" s="122" t="s">
        <v>1846</v>
      </c>
      <c r="D19" s="117"/>
      <c r="E19" s="97">
        <v>438</v>
      </c>
    </row>
    <row r="20" spans="1:5">
      <c r="A20" s="127" t="s">
        <v>1847</v>
      </c>
      <c r="B20" s="124">
        <v>1</v>
      </c>
      <c r="C20" s="122" t="s">
        <v>1848</v>
      </c>
      <c r="D20" s="117"/>
      <c r="E20" s="97">
        <v>439</v>
      </c>
    </row>
    <row r="21" spans="1:5">
      <c r="A21" s="124" t="s">
        <v>1849</v>
      </c>
      <c r="B21" s="124">
        <v>1</v>
      </c>
      <c r="C21" s="119" t="s">
        <v>1850</v>
      </c>
      <c r="D21" s="123" t="s">
        <v>1851</v>
      </c>
      <c r="E21" s="97">
        <v>440</v>
      </c>
    </row>
    <row r="22" spans="1:5">
      <c r="A22" s="124" t="s">
        <v>1852</v>
      </c>
      <c r="B22" s="124">
        <v>1</v>
      </c>
      <c r="C22" s="122" t="s">
        <v>1853</v>
      </c>
      <c r="D22" s="117"/>
      <c r="E22" s="97">
        <v>441</v>
      </c>
    </row>
    <row r="23" spans="1:5">
      <c r="A23" s="124" t="s">
        <v>1854</v>
      </c>
      <c r="B23" s="124">
        <v>1</v>
      </c>
      <c r="C23" s="122" t="s">
        <v>1855</v>
      </c>
      <c r="D23" s="117"/>
      <c r="E23" s="97">
        <v>442</v>
      </c>
    </row>
    <row r="24" spans="1:5">
      <c r="A24" s="124" t="s">
        <v>1856</v>
      </c>
      <c r="B24" s="124">
        <v>1</v>
      </c>
      <c r="C24" s="122" t="s">
        <v>1857</v>
      </c>
      <c r="D24" s="117"/>
      <c r="E24" s="97">
        <v>443</v>
      </c>
    </row>
    <row r="25" spans="1:5">
      <c r="A25" s="99"/>
      <c r="B25" s="95"/>
      <c r="C25" s="122" t="s">
        <v>1858</v>
      </c>
      <c r="D25" s="117"/>
      <c r="E25" s="97">
        <v>444</v>
      </c>
    </row>
    <row r="26" spans="1:5">
      <c r="A26" s="99"/>
      <c r="B26" s="128" t="s">
        <v>11</v>
      </c>
      <c r="E26" s="97">
        <v>445</v>
      </c>
    </row>
    <row r="27" spans="1:5">
      <c r="A27" s="99"/>
      <c r="B27" s="128"/>
      <c r="E27" s="97">
        <v>446</v>
      </c>
    </row>
    <row r="28" spans="1:5">
      <c r="A28" s="129"/>
      <c r="B28" s="128" t="s">
        <v>1859</v>
      </c>
      <c r="E28" s="97">
        <v>447</v>
      </c>
    </row>
    <row r="29" spans="1:5">
      <c r="A29" s="99"/>
      <c r="B29" s="128" t="s">
        <v>1860</v>
      </c>
      <c r="E29" s="97">
        <v>448</v>
      </c>
    </row>
    <row r="30" spans="1:5">
      <c r="A30" s="99"/>
      <c r="B30" s="128" t="s">
        <v>123</v>
      </c>
      <c r="E30" s="97">
        <v>449</v>
      </c>
    </row>
    <row r="31" spans="1:5">
      <c r="A31" s="99"/>
      <c r="B31" s="128"/>
      <c r="E31" s="97">
        <v>450</v>
      </c>
    </row>
    <row r="32" spans="1:5">
      <c r="E32" s="97">
        <v>451</v>
      </c>
    </row>
    <row r="33" spans="5:5">
      <c r="E33" s="97">
        <v>452</v>
      </c>
    </row>
    <row r="34" spans="5:5">
      <c r="E34" s="97">
        <v>453</v>
      </c>
    </row>
    <row r="35" spans="5:5">
      <c r="E35" s="97">
        <v>454</v>
      </c>
    </row>
    <row r="36" spans="5:5">
      <c r="E36" s="97">
        <v>455</v>
      </c>
    </row>
    <row r="37" spans="5:5">
      <c r="E37" s="97">
        <v>456</v>
      </c>
    </row>
    <row r="38" spans="5:5">
      <c r="E38" s="97">
        <v>457</v>
      </c>
    </row>
    <row r="98" spans="1:2">
      <c r="A98" s="118"/>
    </row>
    <row r="100" spans="1:2">
      <c r="A100" s="107">
        <v>858765</v>
      </c>
    </row>
    <row r="102" spans="1:2">
      <c r="A102" s="107">
        <v>17052001</v>
      </c>
    </row>
    <row r="103" spans="1:2">
      <c r="A103" s="130" t="s">
        <v>1861</v>
      </c>
    </row>
    <row r="104" spans="1:2">
      <c r="A104" s="131" t="s">
        <v>557</v>
      </c>
    </row>
    <row r="105" spans="1:2">
      <c r="A105" s="130" t="s">
        <v>1862</v>
      </c>
    </row>
    <row r="106" spans="1:2">
      <c r="A106" s="130" t="s">
        <v>1863</v>
      </c>
    </row>
    <row r="107" spans="1:2">
      <c r="A107" s="130" t="s">
        <v>1864</v>
      </c>
      <c r="B107" s="107">
        <v>858765</v>
      </c>
    </row>
    <row r="108" spans="1:2">
      <c r="A108" s="130" t="s">
        <v>1865</v>
      </c>
    </row>
    <row r="109" spans="1:2">
      <c r="A109" s="130" t="s">
        <v>1866</v>
      </c>
    </row>
    <row r="110" spans="1:2">
      <c r="A110" s="130" t="s">
        <v>1867</v>
      </c>
    </row>
    <row r="111" spans="1:2">
      <c r="A111" s="130">
        <v>30438</v>
      </c>
      <c r="B111" s="107" t="s">
        <v>1868</v>
      </c>
    </row>
    <row r="112" spans="1:2">
      <c r="A112" s="130">
        <v>30091991</v>
      </c>
    </row>
    <row r="114" spans="1:1">
      <c r="A114" s="107">
        <v>292024930</v>
      </c>
    </row>
    <row r="115" spans="1:1">
      <c r="A115" s="107" t="s">
        <v>1869</v>
      </c>
    </row>
    <row r="118" spans="1:1">
      <c r="A118" s="107" t="s">
        <v>1870</v>
      </c>
    </row>
    <row r="120" spans="1:1">
      <c r="A120" s="132"/>
    </row>
    <row r="121" spans="1:1">
      <c r="A121" s="133"/>
    </row>
    <row r="122" spans="1:1">
      <c r="A122" s="118" t="s">
        <v>1871</v>
      </c>
    </row>
    <row r="123" spans="1:1">
      <c r="A123" s="118">
        <v>210924</v>
      </c>
    </row>
  </sheetData>
  <pageMargins left="0.75" right="0.75" top="1" bottom="1" header="0.50902777777777797" footer="0.50902777777777797"/>
  <pageSetup paperSize="9" fitToWidth="0" fitToHeight="0" orientation="portrait" useFirstPageNumber="1" errors="NA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ColWidth="9.140625" defaultRowHeight="12.75"/>
  <cols>
    <col min="1" max="1" width="27.7109375" customWidth="1"/>
    <col min="2" max="2" width="41.5703125" customWidth="1"/>
    <col min="5" max="5" width="43.140625"/>
    <col min="6" max="6" width="40.85546875"/>
  </cols>
  <sheetData>
    <row r="1" spans="1:6">
      <c r="A1" t="s">
        <v>1872</v>
      </c>
    </row>
    <row r="2" spans="1:6" ht="30">
      <c r="A2" s="102">
        <v>1</v>
      </c>
      <c r="B2" s="103" t="s">
        <v>1873</v>
      </c>
      <c r="E2" s="104"/>
      <c r="F2" s="105"/>
    </row>
    <row r="3" spans="1:6" ht="15">
      <c r="A3">
        <v>2</v>
      </c>
      <c r="B3" s="103" t="s">
        <v>1874</v>
      </c>
    </row>
    <row r="4" spans="1:6" ht="30">
      <c r="A4">
        <v>3</v>
      </c>
      <c r="B4" t="s">
        <v>1875</v>
      </c>
      <c r="E4" s="104"/>
    </row>
    <row r="5" spans="1:6" ht="30">
      <c r="A5" s="102">
        <v>4</v>
      </c>
      <c r="B5" t="s">
        <v>1876</v>
      </c>
      <c r="C5" t="s">
        <v>1877</v>
      </c>
      <c r="E5" s="104"/>
    </row>
    <row r="6" spans="1:6">
      <c r="A6">
        <v>5</v>
      </c>
      <c r="B6" t="s">
        <v>1878</v>
      </c>
    </row>
    <row r="7" spans="1:6">
      <c r="A7">
        <v>6</v>
      </c>
      <c r="B7" t="s">
        <v>1879</v>
      </c>
    </row>
    <row r="10" spans="1:6">
      <c r="A10">
        <v>5</v>
      </c>
      <c r="B10" t="s">
        <v>1880</v>
      </c>
    </row>
  </sheetData>
  <pageMargins left="0.69930555555555596" right="0.69930555555555596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ColWidth="9.140625" defaultRowHeight="18"/>
  <cols>
    <col min="1" max="1" width="29.28515625" style="81"/>
    <col min="2" max="2" width="16.140625" style="81"/>
    <col min="3" max="16384" width="9.140625" style="81"/>
  </cols>
  <sheetData>
    <row r="1" spans="1:2" ht="19.5">
      <c r="A1" s="84" t="s">
        <v>1881</v>
      </c>
      <c r="B1" s="84" t="s">
        <v>39</v>
      </c>
    </row>
    <row r="2" spans="1:2" ht="19.5">
      <c r="A2" s="86" t="s">
        <v>1882</v>
      </c>
      <c r="B2" s="86">
        <v>90213900</v>
      </c>
    </row>
    <row r="3" spans="1:2" ht="19.5">
      <c r="A3" s="86" t="s">
        <v>1883</v>
      </c>
      <c r="B3" s="100">
        <v>0.05</v>
      </c>
    </row>
    <row r="4" spans="1:2" ht="19.5">
      <c r="A4" s="86" t="s">
        <v>1884</v>
      </c>
      <c r="B4" s="100">
        <v>2.5000000000000001E-2</v>
      </c>
    </row>
    <row r="5" spans="1:2" ht="19.5">
      <c r="A5" s="86" t="s">
        <v>1885</v>
      </c>
      <c r="B5" s="100">
        <v>2.5000000000000001E-2</v>
      </c>
    </row>
    <row r="6" spans="1:2" ht="19.5">
      <c r="A6" s="83"/>
      <c r="B6" s="83"/>
    </row>
    <row r="7" spans="1:2" ht="19.5">
      <c r="A7" s="86" t="s">
        <v>1886</v>
      </c>
      <c r="B7" s="86">
        <v>90185090</v>
      </c>
    </row>
    <row r="8" spans="1:2" ht="19.5">
      <c r="A8" s="86" t="s">
        <v>1883</v>
      </c>
      <c r="B8" s="100">
        <v>0.12</v>
      </c>
    </row>
    <row r="9" spans="1:2" ht="19.5">
      <c r="A9" s="86" t="s">
        <v>1884</v>
      </c>
      <c r="B9" s="101">
        <v>0.06</v>
      </c>
    </row>
    <row r="10" spans="1:2" ht="19.5">
      <c r="A10" s="86" t="s">
        <v>1885</v>
      </c>
      <c r="B10" s="101">
        <v>0.06</v>
      </c>
    </row>
    <row r="11" spans="1:2" ht="19.5">
      <c r="A11" s="83"/>
      <c r="B11" s="83"/>
    </row>
    <row r="12" spans="1:2" ht="19.5">
      <c r="A12" s="86" t="s">
        <v>1887</v>
      </c>
      <c r="B12" s="86">
        <v>90185090</v>
      </c>
    </row>
    <row r="13" spans="1:2" ht="19.5">
      <c r="A13" s="86" t="s">
        <v>1883</v>
      </c>
      <c r="B13" s="101">
        <v>0.12</v>
      </c>
    </row>
    <row r="14" spans="1:2" ht="19.5">
      <c r="A14" s="86" t="s">
        <v>1888</v>
      </c>
      <c r="B14" s="86" t="s">
        <v>1889</v>
      </c>
    </row>
    <row r="15" spans="1:2" ht="19.5">
      <c r="A15" s="83"/>
      <c r="B15" s="83"/>
    </row>
    <row r="16" spans="1:2" ht="19.5">
      <c r="A16" s="86" t="s">
        <v>1890</v>
      </c>
      <c r="B16" s="86">
        <v>34049039</v>
      </c>
    </row>
    <row r="17" spans="1:2" ht="19.5">
      <c r="A17" s="86" t="s">
        <v>1883</v>
      </c>
      <c r="B17" s="101">
        <v>0.18</v>
      </c>
    </row>
    <row r="18" spans="1:2" ht="19.5">
      <c r="A18" s="86" t="s">
        <v>1888</v>
      </c>
      <c r="B18" s="86" t="s">
        <v>1891</v>
      </c>
    </row>
    <row r="19" spans="1:2" ht="19.5">
      <c r="A19" s="83"/>
      <c r="B19" s="83"/>
    </row>
    <row r="20" spans="1:2" ht="19.5">
      <c r="A20" s="86" t="s">
        <v>1892</v>
      </c>
      <c r="B20" s="86">
        <v>90012000</v>
      </c>
    </row>
  </sheetData>
  <pageMargins left="0.69930555555555596" right="0.69930555555555596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66"/>
  <sheetViews>
    <sheetView workbookViewId="0">
      <selection activeCell="A13" sqref="A13"/>
    </sheetView>
  </sheetViews>
  <sheetFormatPr defaultColWidth="255.42578125" defaultRowHeight="19.5"/>
  <cols>
    <col min="1" max="1" width="58.28515625" style="79"/>
    <col min="2" max="2" width="62.85546875" style="79"/>
    <col min="3" max="3" width="14.140625" style="80"/>
    <col min="4" max="4" width="36.7109375" style="79"/>
    <col min="5" max="5" width="26.7109375" style="79"/>
    <col min="6" max="6" width="11.42578125" style="81"/>
    <col min="7" max="7" width="65.5703125" style="81"/>
    <col min="8" max="8" width="30.28515625" style="81"/>
    <col min="9" max="9" width="10.42578125" style="81"/>
    <col min="10" max="10" width="31.140625" style="81"/>
    <col min="11" max="11" width="41.85546875" style="81"/>
    <col min="12" max="16384" width="255.42578125" style="81"/>
  </cols>
  <sheetData>
    <row r="1" spans="1:11">
      <c r="A1" s="82" t="s">
        <v>1893</v>
      </c>
      <c r="B1" s="83"/>
      <c r="C1" s="83"/>
      <c r="D1" s="82" t="s">
        <v>1894</v>
      </c>
      <c r="E1" s="84" t="s">
        <v>1895</v>
      </c>
      <c r="F1" s="85"/>
      <c r="G1" s="85" t="s">
        <v>1896</v>
      </c>
      <c r="H1" s="85" t="s">
        <v>1897</v>
      </c>
      <c r="I1" s="85" t="s">
        <v>684</v>
      </c>
    </row>
    <row r="2" spans="1:11">
      <c r="A2" s="86" t="s">
        <v>1898</v>
      </c>
      <c r="B2" s="83"/>
      <c r="C2" s="83"/>
      <c r="D2" s="86" t="s">
        <v>1899</v>
      </c>
      <c r="E2" s="87"/>
      <c r="F2" s="85"/>
      <c r="G2" s="85"/>
      <c r="H2" s="85" t="s">
        <v>1900</v>
      </c>
      <c r="I2" s="85"/>
      <c r="J2" s="91"/>
      <c r="K2" s="91"/>
    </row>
    <row r="3" spans="1:11">
      <c r="A3" s="86"/>
      <c r="B3" s="83"/>
      <c r="C3" s="83"/>
      <c r="D3" s="86" t="s">
        <v>1901</v>
      </c>
      <c r="E3" s="87"/>
      <c r="F3" s="85"/>
      <c r="G3" s="85"/>
      <c r="H3" s="85" t="s">
        <v>1902</v>
      </c>
      <c r="I3" s="85"/>
      <c r="J3" s="91"/>
      <c r="K3" s="91"/>
    </row>
    <row r="4" spans="1:11">
      <c r="A4" s="88" t="s">
        <v>1903</v>
      </c>
      <c r="B4" s="83"/>
      <c r="C4" s="83"/>
      <c r="D4" s="86" t="s">
        <v>1904</v>
      </c>
      <c r="E4" s="87"/>
      <c r="F4" s="85"/>
      <c r="G4" s="85"/>
      <c r="H4" s="85" t="s">
        <v>1905</v>
      </c>
      <c r="I4" s="85" t="s">
        <v>1906</v>
      </c>
      <c r="J4" s="91"/>
      <c r="K4" s="91"/>
    </row>
    <row r="5" spans="1:11">
      <c r="A5" s="86" t="s">
        <v>1907</v>
      </c>
      <c r="B5" s="86" t="s">
        <v>1908</v>
      </c>
      <c r="C5" s="86" t="s">
        <v>1909</v>
      </c>
      <c r="D5" s="82" t="s">
        <v>1910</v>
      </c>
      <c r="E5" s="87"/>
      <c r="F5" s="85"/>
      <c r="G5" s="85"/>
      <c r="H5" s="85" t="s">
        <v>1911</v>
      </c>
      <c r="I5" s="85">
        <v>54872</v>
      </c>
      <c r="J5" s="91"/>
      <c r="K5" s="91"/>
    </row>
    <row r="6" spans="1:11">
      <c r="A6" s="86" t="s">
        <v>1912</v>
      </c>
      <c r="B6" s="86" t="s">
        <v>712</v>
      </c>
      <c r="C6" s="86"/>
      <c r="D6" s="83"/>
      <c r="E6" s="87"/>
      <c r="F6" s="85"/>
      <c r="G6" s="85"/>
      <c r="H6" s="85"/>
      <c r="I6" s="85">
        <v>5000</v>
      </c>
      <c r="J6" s="91"/>
      <c r="K6" s="91"/>
    </row>
    <row r="7" spans="1:11">
      <c r="A7" s="86" t="s">
        <v>1913</v>
      </c>
      <c r="B7" s="86">
        <v>99</v>
      </c>
      <c r="C7" s="86"/>
      <c r="D7" s="86" t="s">
        <v>1914</v>
      </c>
      <c r="E7" s="86" t="s">
        <v>1915</v>
      </c>
      <c r="F7" s="85" t="s">
        <v>1916</v>
      </c>
      <c r="G7" s="85" t="s">
        <v>1917</v>
      </c>
      <c r="H7" s="89" t="s">
        <v>1918</v>
      </c>
      <c r="I7" s="89"/>
      <c r="J7" s="91"/>
      <c r="K7" s="91"/>
    </row>
    <row r="8" spans="1:11">
      <c r="A8" s="86" t="s">
        <v>1451</v>
      </c>
      <c r="B8" s="86" t="s">
        <v>1919</v>
      </c>
      <c r="C8" s="86"/>
      <c r="D8" s="82" t="s">
        <v>1920</v>
      </c>
      <c r="E8" s="87"/>
      <c r="F8" s="85"/>
      <c r="G8" s="85">
        <v>5000</v>
      </c>
      <c r="H8" s="90" t="s">
        <v>1921</v>
      </c>
      <c r="I8" s="90">
        <v>22</v>
      </c>
      <c r="J8" s="90"/>
      <c r="K8" s="91"/>
    </row>
    <row r="9" spans="1:11">
      <c r="A9" s="86"/>
      <c r="B9" s="83"/>
      <c r="C9" s="83"/>
      <c r="D9" s="86" t="s">
        <v>1922</v>
      </c>
      <c r="E9" s="86" t="s">
        <v>1923</v>
      </c>
      <c r="F9" s="85" t="s">
        <v>1924</v>
      </c>
      <c r="G9" s="85" t="s">
        <v>1925</v>
      </c>
      <c r="H9" s="90" t="s">
        <v>1926</v>
      </c>
      <c r="I9" s="90">
        <v>500</v>
      </c>
      <c r="J9" s="90">
        <f>0.044</f>
        <v>4.3999999999999997E-2</v>
      </c>
      <c r="K9" s="91"/>
    </row>
    <row r="10" spans="1:11">
      <c r="A10" s="86" t="s">
        <v>1927</v>
      </c>
      <c r="B10" s="83"/>
      <c r="C10" s="83"/>
      <c r="D10" s="86" t="s">
        <v>1928</v>
      </c>
      <c r="E10" s="86" t="s">
        <v>1929</v>
      </c>
      <c r="F10" s="91"/>
      <c r="G10" s="91"/>
      <c r="H10" s="91"/>
      <c r="I10" s="91"/>
      <c r="J10" s="91"/>
      <c r="K10" s="91"/>
    </row>
    <row r="11" spans="1:11">
      <c r="A11" s="86" t="s">
        <v>1930</v>
      </c>
      <c r="B11" s="83"/>
      <c r="C11" s="83"/>
      <c r="D11" s="86" t="s">
        <v>1931</v>
      </c>
      <c r="E11" s="86" t="s">
        <v>1932</v>
      </c>
      <c r="F11" s="91"/>
      <c r="G11" s="91" t="s">
        <v>1933</v>
      </c>
      <c r="H11" s="91"/>
      <c r="I11" s="91"/>
      <c r="J11" s="91"/>
      <c r="K11" s="91"/>
    </row>
    <row r="12" spans="1:11">
      <c r="A12" s="86" t="s">
        <v>1934</v>
      </c>
      <c r="B12" s="83"/>
      <c r="C12" s="83"/>
      <c r="D12" s="83"/>
      <c r="E12" s="87"/>
      <c r="F12" s="91"/>
      <c r="G12" s="85"/>
      <c r="H12" s="85" t="s">
        <v>1935</v>
      </c>
      <c r="I12" s="85"/>
      <c r="J12" s="91"/>
      <c r="K12" s="91"/>
    </row>
    <row r="13" spans="1:11">
      <c r="A13" s="86" t="s">
        <v>1936</v>
      </c>
      <c r="B13" s="83"/>
      <c r="C13" s="83"/>
      <c r="D13" s="82" t="s">
        <v>1937</v>
      </c>
      <c r="E13" s="83"/>
      <c r="F13" s="91"/>
      <c r="G13" s="85"/>
      <c r="H13" s="85" t="s">
        <v>1902</v>
      </c>
      <c r="I13" s="85"/>
      <c r="J13" s="91"/>
      <c r="K13" s="91"/>
    </row>
    <row r="14" spans="1:11">
      <c r="A14" s="86" t="s">
        <v>1938</v>
      </c>
      <c r="B14" s="83"/>
      <c r="C14" s="83"/>
      <c r="D14" s="86" t="s">
        <v>1939</v>
      </c>
      <c r="E14" s="86" t="s">
        <v>1940</v>
      </c>
      <c r="F14" s="91"/>
      <c r="G14" s="85"/>
      <c r="H14" s="85" t="s">
        <v>1941</v>
      </c>
      <c r="I14" s="85" t="s">
        <v>1906</v>
      </c>
      <c r="J14" s="91"/>
      <c r="K14" s="91"/>
    </row>
    <row r="15" spans="1:11">
      <c r="A15" s="86" t="s">
        <v>1942</v>
      </c>
      <c r="B15" s="83"/>
      <c r="C15" s="83"/>
      <c r="D15" s="86" t="s">
        <v>1914</v>
      </c>
      <c r="E15" s="86" t="s">
        <v>1932</v>
      </c>
      <c r="F15" s="91"/>
      <c r="G15" s="85"/>
      <c r="H15" s="92">
        <v>122728</v>
      </c>
      <c r="I15" s="85"/>
      <c r="J15" s="91"/>
      <c r="K15" s="91"/>
    </row>
    <row r="16" spans="1:11">
      <c r="A16" s="86" t="s">
        <v>1943</v>
      </c>
      <c r="B16" s="83"/>
      <c r="C16" s="83"/>
      <c r="D16" s="83"/>
      <c r="E16" s="87"/>
      <c r="F16" s="91"/>
      <c r="G16" s="85"/>
      <c r="H16" s="85">
        <v>6000</v>
      </c>
      <c r="I16" s="85"/>
      <c r="J16" s="91"/>
      <c r="K16" s="91"/>
    </row>
    <row r="17" spans="1:11">
      <c r="A17" s="86" t="s">
        <v>1944</v>
      </c>
      <c r="B17" s="83"/>
      <c r="C17" s="83"/>
      <c r="D17" s="82" t="s">
        <v>1244</v>
      </c>
      <c r="E17" s="83"/>
      <c r="F17" s="91"/>
      <c r="G17" s="85"/>
      <c r="H17" s="85">
        <f>20.45</f>
        <v>20.45</v>
      </c>
      <c r="I17" s="85"/>
      <c r="J17" s="91"/>
      <c r="K17" s="91"/>
    </row>
    <row r="18" spans="1:11">
      <c r="A18" s="86" t="s">
        <v>1945</v>
      </c>
      <c r="B18" s="83"/>
      <c r="C18" s="83"/>
      <c r="D18" s="86" t="s">
        <v>1946</v>
      </c>
      <c r="E18" s="86" t="s">
        <v>1947</v>
      </c>
      <c r="F18" s="87"/>
      <c r="G18" s="83" t="s">
        <v>1948</v>
      </c>
      <c r="H18" s="87"/>
      <c r="I18" s="87"/>
      <c r="J18" s="87"/>
      <c r="K18" s="87"/>
    </row>
    <row r="19" spans="1:11">
      <c r="A19" s="86"/>
      <c r="B19" s="83"/>
      <c r="C19" s="83"/>
      <c r="D19" s="86" t="s">
        <v>1949</v>
      </c>
      <c r="E19" s="86" t="s">
        <v>1940</v>
      </c>
      <c r="F19" s="87"/>
      <c r="G19" s="87"/>
      <c r="H19" s="87"/>
      <c r="I19" s="87"/>
      <c r="J19" s="87"/>
      <c r="K19" s="87"/>
    </row>
    <row r="20" spans="1:11">
      <c r="A20" s="86"/>
      <c r="B20" s="83"/>
      <c r="C20" s="83"/>
      <c r="D20" s="86" t="s">
        <v>1950</v>
      </c>
      <c r="E20" s="86" t="s">
        <v>1951</v>
      </c>
      <c r="F20" s="87"/>
      <c r="H20" s="87"/>
      <c r="I20" s="87"/>
      <c r="J20" s="87"/>
      <c r="K20" s="87"/>
    </row>
    <row r="21" spans="1:11">
      <c r="A21" s="88" t="s">
        <v>1952</v>
      </c>
      <c r="B21" s="83"/>
      <c r="C21" s="83"/>
      <c r="D21" s="86" t="s">
        <v>1953</v>
      </c>
      <c r="E21" s="86" t="s">
        <v>1954</v>
      </c>
      <c r="F21" s="87"/>
      <c r="G21" s="87"/>
      <c r="H21" s="87"/>
      <c r="I21" s="87"/>
      <c r="J21" s="87"/>
      <c r="K21" s="87"/>
    </row>
    <row r="22" spans="1:11">
      <c r="A22" s="86" t="s">
        <v>1955</v>
      </c>
      <c r="B22" s="83"/>
      <c r="C22" s="83"/>
      <c r="D22" s="86" t="s">
        <v>1956</v>
      </c>
      <c r="E22" s="86" t="s">
        <v>1957</v>
      </c>
      <c r="F22" s="87"/>
      <c r="G22" s="87"/>
      <c r="H22" s="87"/>
      <c r="I22" s="87"/>
      <c r="J22" s="87"/>
      <c r="K22" s="87"/>
    </row>
    <row r="23" spans="1:11">
      <c r="A23" s="86" t="s">
        <v>1958</v>
      </c>
      <c r="B23" s="83"/>
      <c r="C23" s="83"/>
      <c r="D23" s="83"/>
      <c r="E23" s="87"/>
      <c r="F23" s="87"/>
      <c r="G23" s="87"/>
      <c r="H23" s="87"/>
      <c r="I23" s="87"/>
      <c r="J23" s="87"/>
      <c r="K23" s="87"/>
    </row>
    <row r="24" spans="1:11">
      <c r="A24" s="86" t="s">
        <v>1959</v>
      </c>
      <c r="B24" s="83"/>
      <c r="C24" s="83"/>
      <c r="D24" s="82" t="s">
        <v>1960</v>
      </c>
      <c r="E24" s="87"/>
      <c r="F24" s="87"/>
      <c r="G24" s="87"/>
      <c r="H24" s="87"/>
      <c r="I24" s="87"/>
      <c r="J24" s="87"/>
      <c r="K24" s="87"/>
    </row>
    <row r="25" spans="1:11">
      <c r="A25" s="86"/>
      <c r="B25" s="83"/>
      <c r="C25" s="83"/>
      <c r="D25" s="86" t="s">
        <v>1961</v>
      </c>
      <c r="E25" s="86" t="s">
        <v>1962</v>
      </c>
      <c r="F25" s="87"/>
      <c r="G25" s="87"/>
      <c r="H25" s="87"/>
      <c r="I25" s="87"/>
      <c r="J25" s="87"/>
      <c r="K25" s="87"/>
    </row>
    <row r="26" spans="1:11">
      <c r="A26" s="86"/>
      <c r="B26" s="83"/>
      <c r="C26" s="83"/>
      <c r="D26" s="83"/>
      <c r="E26" s="87"/>
      <c r="F26" s="87"/>
      <c r="G26" s="87"/>
      <c r="H26" s="87"/>
      <c r="I26" s="87"/>
      <c r="J26" s="87"/>
      <c r="K26" s="87"/>
    </row>
    <row r="27" spans="1:11">
      <c r="A27" s="82" t="s">
        <v>1963</v>
      </c>
      <c r="B27" s="83"/>
      <c r="C27" s="83"/>
      <c r="D27" s="83">
        <v>9410002326</v>
      </c>
      <c r="E27" s="87"/>
      <c r="F27" s="87"/>
      <c r="G27" s="87"/>
      <c r="H27" s="87"/>
      <c r="I27" s="87"/>
      <c r="J27" s="87"/>
      <c r="K27" s="87"/>
    </row>
    <row r="28" spans="1:11">
      <c r="A28" s="86" t="s">
        <v>1964</v>
      </c>
      <c r="B28" s="83"/>
      <c r="C28" s="83"/>
      <c r="D28" s="83"/>
      <c r="E28" s="87"/>
      <c r="F28" s="87"/>
      <c r="G28" s="87"/>
      <c r="H28" s="87"/>
      <c r="I28" s="87"/>
      <c r="J28" s="87"/>
      <c r="K28" s="87"/>
    </row>
    <row r="29" spans="1:11">
      <c r="A29" s="86" t="s">
        <v>1965</v>
      </c>
      <c r="B29" s="83"/>
      <c r="E29" s="87"/>
      <c r="F29" s="87"/>
      <c r="G29" s="87"/>
      <c r="H29" s="87"/>
      <c r="I29" s="87"/>
      <c r="J29" s="87"/>
      <c r="K29" s="87"/>
    </row>
    <row r="30" spans="1:11">
      <c r="A30" s="86" t="s">
        <v>1966</v>
      </c>
      <c r="B30" s="83"/>
      <c r="E30" s="87"/>
      <c r="F30" s="87"/>
      <c r="G30" s="87"/>
      <c r="H30" s="87"/>
      <c r="I30" s="87"/>
      <c r="J30" s="87"/>
      <c r="K30" s="87"/>
    </row>
    <row r="31" spans="1:11">
      <c r="A31" s="86" t="s">
        <v>1967</v>
      </c>
      <c r="B31" s="83"/>
      <c r="E31" s="87"/>
      <c r="F31" s="87"/>
      <c r="G31" s="87"/>
      <c r="H31" s="87"/>
      <c r="I31" s="87"/>
      <c r="J31" s="87"/>
      <c r="K31" s="87"/>
    </row>
    <row r="32" spans="1:11">
      <c r="A32" s="86"/>
      <c r="B32" s="83"/>
      <c r="E32" s="87"/>
      <c r="F32" s="87"/>
      <c r="G32" s="87"/>
      <c r="H32" s="87"/>
      <c r="I32" s="87"/>
      <c r="J32" s="87"/>
      <c r="K32" s="87"/>
    </row>
    <row r="33" spans="1:11">
      <c r="A33" s="88" t="s">
        <v>1968</v>
      </c>
      <c r="B33" s="83"/>
      <c r="E33" s="87"/>
      <c r="F33" s="87"/>
      <c r="G33" s="87"/>
      <c r="H33" s="87"/>
      <c r="I33" s="87"/>
      <c r="J33" s="87"/>
      <c r="K33" s="87"/>
    </row>
    <row r="34" spans="1:11">
      <c r="A34" s="86" t="s">
        <v>1969</v>
      </c>
      <c r="B34" s="83"/>
      <c r="E34" s="87"/>
      <c r="F34" s="87"/>
      <c r="G34" s="87"/>
      <c r="H34" s="87"/>
      <c r="I34" s="87"/>
      <c r="J34" s="87"/>
      <c r="K34" s="87"/>
    </row>
    <row r="35" spans="1:11">
      <c r="A35" s="86" t="s">
        <v>1970</v>
      </c>
      <c r="B35" s="83"/>
      <c r="E35" s="87"/>
      <c r="F35" s="87"/>
      <c r="G35" s="87"/>
      <c r="H35" s="87"/>
      <c r="I35" s="87"/>
      <c r="J35" s="87"/>
      <c r="K35" s="87"/>
    </row>
    <row r="36" spans="1:11">
      <c r="A36" s="86" t="s">
        <v>1971</v>
      </c>
      <c r="B36" s="83"/>
      <c r="E36" s="83"/>
      <c r="F36" s="87"/>
      <c r="G36" s="87"/>
      <c r="H36" s="87"/>
      <c r="I36" s="87"/>
      <c r="J36" s="87"/>
      <c r="K36" s="87"/>
    </row>
    <row r="37" spans="1:11">
      <c r="A37" s="86" t="s">
        <v>1972</v>
      </c>
      <c r="B37" s="83"/>
      <c r="E37" s="87"/>
      <c r="F37" s="87"/>
      <c r="G37" s="87"/>
      <c r="H37" s="87"/>
      <c r="I37" s="87"/>
      <c r="J37" s="87"/>
      <c r="K37" s="87"/>
    </row>
    <row r="38" spans="1:11">
      <c r="A38" s="86" t="s">
        <v>1973</v>
      </c>
      <c r="B38" s="83"/>
      <c r="E38" s="87"/>
      <c r="F38" s="87"/>
      <c r="G38" s="87"/>
      <c r="H38" s="87"/>
      <c r="I38" s="87"/>
      <c r="J38" s="87"/>
      <c r="K38" s="87"/>
    </row>
    <row r="39" spans="1:11">
      <c r="A39" s="86" t="s">
        <v>1974</v>
      </c>
      <c r="B39" s="83"/>
      <c r="E39" s="87"/>
      <c r="F39" s="87"/>
      <c r="G39" s="87"/>
      <c r="H39" s="87"/>
      <c r="I39" s="87"/>
      <c r="J39" s="87"/>
      <c r="K39" s="87"/>
    </row>
    <row r="40" spans="1:11">
      <c r="A40" s="86"/>
      <c r="B40" s="83"/>
      <c r="E40" s="83"/>
      <c r="F40" s="87"/>
      <c r="G40" s="87"/>
      <c r="H40" s="87"/>
      <c r="I40" s="87"/>
      <c r="J40" s="87"/>
      <c r="K40" s="87"/>
    </row>
    <row r="41" spans="1:11">
      <c r="A41" s="82" t="s">
        <v>1975</v>
      </c>
      <c r="B41" s="83"/>
      <c r="E41" s="87"/>
      <c r="F41" s="87"/>
      <c r="G41" s="87"/>
      <c r="H41" s="87"/>
      <c r="I41" s="87"/>
      <c r="J41" s="87"/>
      <c r="K41" s="87"/>
    </row>
    <row r="42" spans="1:11">
      <c r="A42" s="86" t="s">
        <v>1976</v>
      </c>
      <c r="B42" s="83"/>
      <c r="E42" s="87"/>
      <c r="F42" s="87"/>
      <c r="G42" s="87"/>
      <c r="H42" s="87"/>
      <c r="I42" s="87"/>
      <c r="J42" s="87"/>
      <c r="K42" s="87"/>
    </row>
    <row r="43" spans="1:11">
      <c r="A43" s="86" t="s">
        <v>1977</v>
      </c>
      <c r="B43" s="83"/>
      <c r="E43" s="87"/>
      <c r="F43" s="87"/>
      <c r="G43" s="87"/>
      <c r="H43" s="87"/>
      <c r="I43" s="87"/>
      <c r="J43" s="87"/>
      <c r="K43" s="87"/>
    </row>
    <row r="44" spans="1:11">
      <c r="A44" s="86" t="s">
        <v>1978</v>
      </c>
      <c r="B44" s="83"/>
      <c r="E44" s="87"/>
      <c r="F44" s="87"/>
      <c r="G44" s="87"/>
      <c r="H44" s="87"/>
      <c r="I44" s="87"/>
      <c r="J44" s="87"/>
      <c r="K44" s="87"/>
    </row>
    <row r="45" spans="1:11">
      <c r="A45" s="86" t="s">
        <v>1979</v>
      </c>
      <c r="B45" s="83"/>
      <c r="C45" s="83"/>
      <c r="D45" s="83"/>
      <c r="E45" s="87"/>
      <c r="F45" s="87"/>
      <c r="G45" s="87"/>
      <c r="H45" s="87"/>
      <c r="I45" s="87"/>
      <c r="J45" s="87"/>
      <c r="K45" s="87"/>
    </row>
    <row r="46" spans="1:11">
      <c r="A46" s="86" t="s">
        <v>1980</v>
      </c>
      <c r="B46" s="83"/>
      <c r="C46" s="83"/>
      <c r="D46" s="83"/>
      <c r="E46" s="87"/>
      <c r="F46" s="87"/>
      <c r="G46" s="87"/>
      <c r="H46" s="87"/>
      <c r="I46" s="87"/>
      <c r="J46" s="87"/>
      <c r="K46" s="87"/>
    </row>
    <row r="47" spans="1:11">
      <c r="A47" s="86" t="s">
        <v>1981</v>
      </c>
      <c r="B47" s="83"/>
      <c r="C47" s="83"/>
      <c r="D47" s="83"/>
      <c r="E47" s="87"/>
      <c r="F47" s="93"/>
      <c r="G47" s="93"/>
      <c r="H47" s="93"/>
      <c r="I47" s="93"/>
      <c r="J47" s="93"/>
      <c r="K47" s="93"/>
    </row>
    <row r="48" spans="1:11">
      <c r="A48" s="86"/>
      <c r="B48" s="83"/>
      <c r="C48" s="83"/>
      <c r="D48" s="83"/>
      <c r="E48" s="87"/>
      <c r="F48" s="93"/>
      <c r="G48" s="93"/>
      <c r="H48" s="93"/>
      <c r="I48" s="93"/>
      <c r="J48" s="93"/>
      <c r="K48" s="93"/>
    </row>
    <row r="51" spans="1:2">
      <c r="A51" s="83" t="s">
        <v>1982</v>
      </c>
      <c r="B51" s="83"/>
    </row>
    <row r="52" spans="1:2" ht="35.25">
      <c r="A52" s="94">
        <v>5113753</v>
      </c>
      <c r="B52" s="95" t="s">
        <v>1983</v>
      </c>
    </row>
    <row r="53" spans="1:2" ht="35.25">
      <c r="A53" s="94"/>
      <c r="B53" s="95" t="s">
        <v>1984</v>
      </c>
    </row>
    <row r="54" spans="1:2" ht="35.25">
      <c r="A54" s="94"/>
      <c r="B54" s="95" t="s">
        <v>1985</v>
      </c>
    </row>
    <row r="55" spans="1:2" ht="35.25">
      <c r="A55" s="94"/>
      <c r="B55" s="95" t="s">
        <v>1986</v>
      </c>
    </row>
    <row r="56" spans="1:2" ht="35.25">
      <c r="A56" s="94"/>
      <c r="B56" s="95" t="s">
        <v>128</v>
      </c>
    </row>
    <row r="57" spans="1:2" ht="35.25">
      <c r="A57" s="94"/>
      <c r="B57" s="95" t="s">
        <v>1987</v>
      </c>
    </row>
    <row r="58" spans="1:2" ht="35.25">
      <c r="A58" s="96"/>
      <c r="B58" s="97"/>
    </row>
    <row r="59" spans="1:2" ht="35.25">
      <c r="A59" s="98">
        <v>5300038</v>
      </c>
      <c r="B59" s="99" t="s">
        <v>11</v>
      </c>
    </row>
    <row r="60" spans="1:2" ht="35.25">
      <c r="A60" s="98"/>
      <c r="B60" s="99" t="s">
        <v>26</v>
      </c>
    </row>
    <row r="61" spans="1:2" ht="35.25">
      <c r="A61" s="98"/>
      <c r="B61" s="99" t="s">
        <v>1988</v>
      </c>
    </row>
    <row r="62" spans="1:2" ht="35.25">
      <c r="A62" s="98"/>
      <c r="B62" s="99" t="s">
        <v>1989</v>
      </c>
    </row>
    <row r="63" spans="1:2" ht="35.25">
      <c r="A63" s="98"/>
      <c r="B63" s="99" t="s">
        <v>1990</v>
      </c>
    </row>
    <row r="64" spans="1:2" ht="35.25">
      <c r="A64" s="98"/>
      <c r="B64" s="99" t="s">
        <v>1991</v>
      </c>
    </row>
    <row r="65" spans="1:2" ht="35.25">
      <c r="A65" s="98"/>
      <c r="B65" s="99" t="s">
        <v>128</v>
      </c>
    </row>
    <row r="66" spans="1:2" ht="35.25">
      <c r="A66" s="98"/>
      <c r="B66" s="99" t="s">
        <v>122</v>
      </c>
    </row>
  </sheetData>
  <pageMargins left="0.69930555555555596" right="0.69930555555555596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52"/>
  <sheetViews>
    <sheetView zoomScale="55" zoomScaleNormal="55" workbookViewId="0"/>
  </sheetViews>
  <sheetFormatPr defaultColWidth="9.140625" defaultRowHeight="33"/>
  <cols>
    <col min="1" max="1" width="100.85546875" style="64"/>
    <col min="2" max="2" width="12.85546875" style="64"/>
    <col min="3" max="6" width="9.140625" style="64"/>
    <col min="7" max="7" width="9.140625" style="64" hidden="1" customWidth="1"/>
    <col min="8" max="9" width="9.140625" style="64"/>
    <col min="10" max="11" width="9.140625" style="64" hidden="1" customWidth="1"/>
    <col min="12" max="12" width="17.28515625" style="64" hidden="1" customWidth="1"/>
    <col min="13" max="16" width="9.140625" style="64" hidden="1" customWidth="1"/>
    <col min="17" max="17" width="12.5703125" style="64" hidden="1" customWidth="1"/>
    <col min="18" max="18" width="16.42578125" style="64"/>
    <col min="19" max="19" width="4.85546875" style="64"/>
    <col min="20" max="20" width="23.140625" style="64"/>
    <col min="21" max="21" width="4.85546875" style="64"/>
    <col min="22" max="22" width="34.7109375" style="64"/>
    <col min="23" max="29" width="9.140625" style="64"/>
    <col min="30" max="30" width="33.42578125" style="64"/>
    <col min="31" max="16384" width="9.140625" style="64"/>
  </cols>
  <sheetData>
    <row r="1" spans="1:22">
      <c r="A1" s="65" t="s">
        <v>533</v>
      </c>
      <c r="B1" s="597" t="s">
        <v>123</v>
      </c>
      <c r="C1" s="597"/>
      <c r="D1" s="597"/>
      <c r="E1" s="597"/>
      <c r="F1" s="597"/>
      <c r="G1" s="597"/>
      <c r="H1" s="597"/>
      <c r="I1" s="597"/>
      <c r="J1" s="65"/>
      <c r="K1" s="65"/>
      <c r="L1" s="65"/>
      <c r="M1" s="65"/>
      <c r="N1" s="65"/>
      <c r="O1" s="65"/>
      <c r="P1" s="65"/>
      <c r="Q1" s="65"/>
      <c r="R1" s="65" t="s">
        <v>1388</v>
      </c>
      <c r="S1" s="65"/>
      <c r="T1" s="65" t="s">
        <v>688</v>
      </c>
      <c r="U1" s="65"/>
      <c r="V1" s="65" t="s">
        <v>1229</v>
      </c>
    </row>
    <row r="2" spans="1:22" ht="48.75">
      <c r="A2" s="66" t="s">
        <v>1574</v>
      </c>
      <c r="B2" s="67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>
        <f t="shared" ref="R2:R8" si="0">SUM(B2:Q2)</f>
        <v>0</v>
      </c>
      <c r="S2" s="65"/>
      <c r="T2" s="75">
        <v>115</v>
      </c>
      <c r="U2" s="65"/>
      <c r="V2" s="65">
        <f>R2*T2</f>
        <v>0</v>
      </c>
    </row>
    <row r="3" spans="1:22">
      <c r="A3" s="68" t="s">
        <v>1575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>
        <f t="shared" si="0"/>
        <v>0</v>
      </c>
      <c r="S3" s="65"/>
      <c r="T3" s="75">
        <v>170</v>
      </c>
      <c r="U3" s="65"/>
      <c r="V3" s="65">
        <f t="shared" ref="V3:V45" si="1">R3*T3</f>
        <v>0</v>
      </c>
    </row>
    <row r="4" spans="1:22">
      <c r="A4" s="66" t="s">
        <v>1599</v>
      </c>
      <c r="B4" s="69"/>
      <c r="C4" s="65"/>
      <c r="D4" s="65"/>
      <c r="E4" s="69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>
        <f t="shared" si="0"/>
        <v>0</v>
      </c>
      <c r="S4" s="65"/>
      <c r="T4" s="75">
        <v>775</v>
      </c>
      <c r="U4" s="65"/>
      <c r="V4" s="65">
        <f t="shared" si="1"/>
        <v>0</v>
      </c>
    </row>
    <row r="5" spans="1:22">
      <c r="A5" s="66" t="s">
        <v>1602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>
        <f t="shared" si="0"/>
        <v>0</v>
      </c>
      <c r="S5" s="65"/>
      <c r="T5" s="75">
        <v>880</v>
      </c>
      <c r="U5" s="65"/>
      <c r="V5" s="65">
        <f t="shared" si="1"/>
        <v>0</v>
      </c>
    </row>
    <row r="6" spans="1:22">
      <c r="A6" s="66" t="s">
        <v>1992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>
        <f t="shared" si="0"/>
        <v>0</v>
      </c>
      <c r="S6" s="65"/>
      <c r="T6" s="75">
        <v>880</v>
      </c>
      <c r="U6" s="65"/>
      <c r="V6" s="65">
        <f t="shared" si="1"/>
        <v>0</v>
      </c>
    </row>
    <row r="7" spans="1:22">
      <c r="A7" s="68" t="s">
        <v>1584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>
        <f t="shared" si="0"/>
        <v>0</v>
      </c>
      <c r="S7" s="65"/>
      <c r="T7" s="75">
        <v>75</v>
      </c>
      <c r="U7" s="65"/>
      <c r="V7" s="65">
        <f t="shared" si="1"/>
        <v>0</v>
      </c>
    </row>
    <row r="8" spans="1:22">
      <c r="A8" s="68" t="s">
        <v>1607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>
        <f t="shared" si="0"/>
        <v>0</v>
      </c>
      <c r="S8" s="65"/>
      <c r="T8" s="75">
        <v>190</v>
      </c>
      <c r="U8" s="65"/>
      <c r="V8" s="65">
        <f t="shared" si="1"/>
        <v>0</v>
      </c>
    </row>
    <row r="9" spans="1:22">
      <c r="A9" s="66" t="s">
        <v>1585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>
        <f t="shared" ref="R9:R45" si="2">SUM(B9:Q9)</f>
        <v>0</v>
      </c>
      <c r="S9" s="65"/>
      <c r="T9" s="75">
        <v>225</v>
      </c>
      <c r="U9" s="65"/>
      <c r="V9" s="65">
        <f t="shared" si="1"/>
        <v>0</v>
      </c>
    </row>
    <row r="10" spans="1:22">
      <c r="A10" s="68" t="s">
        <v>1586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>
        <f t="shared" si="2"/>
        <v>0</v>
      </c>
      <c r="S10" s="65"/>
      <c r="T10" s="75">
        <v>560</v>
      </c>
      <c r="U10" s="65"/>
      <c r="V10" s="65">
        <f t="shared" si="1"/>
        <v>0</v>
      </c>
    </row>
    <row r="11" spans="1:22">
      <c r="A11" s="68" t="s">
        <v>1608</v>
      </c>
      <c r="B11" s="65"/>
      <c r="C11" s="70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>
        <f t="shared" si="2"/>
        <v>0</v>
      </c>
      <c r="S11" s="65"/>
      <c r="T11" s="75">
        <v>560</v>
      </c>
      <c r="U11" s="65"/>
      <c r="V11" s="65">
        <f t="shared" si="1"/>
        <v>0</v>
      </c>
    </row>
    <row r="12" spans="1:22">
      <c r="A12" s="66" t="s">
        <v>1993</v>
      </c>
      <c r="B12" s="65"/>
      <c r="C12" s="69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>
        <f t="shared" si="2"/>
        <v>0</v>
      </c>
      <c r="S12" s="65"/>
      <c r="T12" s="75">
        <v>335</v>
      </c>
      <c r="U12" s="65"/>
      <c r="V12" s="65">
        <f t="shared" si="1"/>
        <v>0</v>
      </c>
    </row>
    <row r="13" spans="1:22">
      <c r="A13" s="66" t="s">
        <v>1994</v>
      </c>
      <c r="B13" s="65"/>
      <c r="C13" s="69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>
        <f t="shared" si="2"/>
        <v>0</v>
      </c>
      <c r="S13" s="65"/>
      <c r="T13" s="75">
        <v>335</v>
      </c>
      <c r="U13" s="65"/>
      <c r="V13" s="65">
        <f t="shared" si="1"/>
        <v>0</v>
      </c>
    </row>
    <row r="14" spans="1:22">
      <c r="A14" s="68" t="s">
        <v>1588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>
        <f t="shared" si="2"/>
        <v>0</v>
      </c>
      <c r="S14" s="65"/>
      <c r="T14" s="75">
        <v>335</v>
      </c>
      <c r="U14" s="65"/>
      <c r="V14" s="65">
        <f t="shared" si="1"/>
        <v>0</v>
      </c>
    </row>
    <row r="15" spans="1:22">
      <c r="A15" s="68" t="s">
        <v>1589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>
        <f t="shared" si="2"/>
        <v>0</v>
      </c>
      <c r="S15" s="65"/>
      <c r="T15" s="75">
        <v>335</v>
      </c>
      <c r="U15" s="65"/>
      <c r="V15" s="65">
        <f t="shared" si="1"/>
        <v>0</v>
      </c>
    </row>
    <row r="16" spans="1:22">
      <c r="A16" s="68" t="s">
        <v>1590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>
        <f t="shared" si="2"/>
        <v>0</v>
      </c>
      <c r="S16" s="65"/>
      <c r="T16" s="75">
        <v>560</v>
      </c>
      <c r="U16" s="65"/>
      <c r="V16" s="65">
        <f t="shared" si="1"/>
        <v>0</v>
      </c>
    </row>
    <row r="17" spans="1:22">
      <c r="A17" s="68" t="s">
        <v>1581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>
        <f t="shared" si="2"/>
        <v>0</v>
      </c>
      <c r="S17" s="65"/>
      <c r="T17" s="75">
        <v>560</v>
      </c>
      <c r="U17" s="65"/>
      <c r="V17" s="65">
        <f t="shared" si="1"/>
        <v>0</v>
      </c>
    </row>
    <row r="18" spans="1:22">
      <c r="A18" s="68" t="s">
        <v>1582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>
        <f t="shared" si="2"/>
        <v>0</v>
      </c>
      <c r="S18" s="65"/>
      <c r="T18" s="75">
        <v>560</v>
      </c>
      <c r="U18" s="65"/>
      <c r="V18" s="65">
        <f t="shared" si="1"/>
        <v>0</v>
      </c>
    </row>
    <row r="19" spans="1:22">
      <c r="A19" s="68" t="s">
        <v>1583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>
        <f t="shared" si="2"/>
        <v>0</v>
      </c>
      <c r="S19" s="65"/>
      <c r="T19" s="75">
        <v>450</v>
      </c>
      <c r="U19" s="65"/>
      <c r="V19" s="65">
        <f t="shared" si="1"/>
        <v>0</v>
      </c>
    </row>
    <row r="20" spans="1:22">
      <c r="A20" s="68" t="s">
        <v>1592</v>
      </c>
      <c r="B20" s="69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>
        <f t="shared" si="2"/>
        <v>0</v>
      </c>
      <c r="S20" s="65"/>
      <c r="T20" s="75">
        <v>450</v>
      </c>
      <c r="U20" s="65"/>
      <c r="V20" s="65">
        <f t="shared" si="1"/>
        <v>0</v>
      </c>
    </row>
    <row r="21" spans="1:22">
      <c r="A21" s="68" t="s">
        <v>1609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>
        <f t="shared" si="2"/>
        <v>0</v>
      </c>
      <c r="S21" s="65"/>
      <c r="T21" s="75">
        <v>2100</v>
      </c>
      <c r="U21" s="65"/>
      <c r="V21" s="65">
        <f t="shared" si="1"/>
        <v>0</v>
      </c>
    </row>
    <row r="22" spans="1:22">
      <c r="A22" s="68" t="s">
        <v>1598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>
        <f t="shared" si="2"/>
        <v>0</v>
      </c>
      <c r="S22" s="65"/>
      <c r="T22" s="75">
        <v>560</v>
      </c>
      <c r="U22" s="65"/>
      <c r="V22" s="65">
        <f t="shared" si="1"/>
        <v>0</v>
      </c>
    </row>
    <row r="23" spans="1:22">
      <c r="A23" s="68" t="s">
        <v>1995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>
        <f t="shared" si="2"/>
        <v>0</v>
      </c>
      <c r="S23" s="65"/>
      <c r="T23" s="75">
        <v>450</v>
      </c>
      <c r="U23" s="65"/>
      <c r="V23" s="65">
        <f t="shared" si="1"/>
        <v>0</v>
      </c>
    </row>
    <row r="24" spans="1:22">
      <c r="A24" s="68" t="s">
        <v>1605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>
        <f t="shared" si="2"/>
        <v>0</v>
      </c>
      <c r="S24" s="65"/>
      <c r="T24" s="75">
        <v>450</v>
      </c>
      <c r="U24" s="65"/>
      <c r="V24" s="65">
        <f t="shared" si="1"/>
        <v>0</v>
      </c>
    </row>
    <row r="25" spans="1:22">
      <c r="A25" s="68" t="s">
        <v>1996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>
        <f t="shared" si="2"/>
        <v>0</v>
      </c>
      <c r="S25" s="65"/>
      <c r="T25" s="75">
        <v>450</v>
      </c>
      <c r="U25" s="65"/>
      <c r="V25" s="65">
        <f t="shared" si="1"/>
        <v>0</v>
      </c>
    </row>
    <row r="26" spans="1:22">
      <c r="A26" s="66" t="s">
        <v>1593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>
        <f t="shared" si="2"/>
        <v>0</v>
      </c>
      <c r="S26" s="65"/>
      <c r="T26" s="75">
        <v>225</v>
      </c>
      <c r="U26" s="65"/>
      <c r="V26" s="65">
        <f t="shared" si="1"/>
        <v>0</v>
      </c>
    </row>
    <row r="27" spans="1:22">
      <c r="A27" s="66" t="s">
        <v>1594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>
        <f t="shared" si="2"/>
        <v>0</v>
      </c>
      <c r="S27" s="65"/>
      <c r="T27" s="75">
        <v>225</v>
      </c>
      <c r="U27" s="65"/>
      <c r="V27" s="65">
        <f t="shared" si="1"/>
        <v>0</v>
      </c>
    </row>
    <row r="28" spans="1:22">
      <c r="A28" s="68" t="s">
        <v>1595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>
        <f t="shared" si="2"/>
        <v>0</v>
      </c>
      <c r="S28" s="65"/>
      <c r="T28" s="75">
        <v>560</v>
      </c>
      <c r="U28" s="65"/>
      <c r="V28" s="65">
        <f t="shared" si="1"/>
        <v>0</v>
      </c>
    </row>
    <row r="29" spans="1:22">
      <c r="A29" s="68" t="s">
        <v>1997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>
        <f t="shared" si="2"/>
        <v>0</v>
      </c>
      <c r="S29" s="65"/>
      <c r="T29" s="75">
        <v>115</v>
      </c>
      <c r="U29" s="65"/>
      <c r="V29" s="65">
        <f t="shared" si="1"/>
        <v>0</v>
      </c>
    </row>
    <row r="30" spans="1:22">
      <c r="A30" s="68" t="s">
        <v>1611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>
        <f t="shared" si="2"/>
        <v>0</v>
      </c>
      <c r="S30" s="65"/>
      <c r="T30" s="75">
        <v>32</v>
      </c>
      <c r="U30" s="65"/>
      <c r="V30" s="65">
        <f t="shared" si="1"/>
        <v>0</v>
      </c>
    </row>
    <row r="31" spans="1:22">
      <c r="A31" s="66" t="s">
        <v>1597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>
        <f t="shared" si="2"/>
        <v>0</v>
      </c>
      <c r="S31" s="65"/>
      <c r="T31" s="75">
        <v>335</v>
      </c>
      <c r="U31" s="65"/>
      <c r="V31" s="65">
        <f t="shared" si="1"/>
        <v>0</v>
      </c>
    </row>
    <row r="32" spans="1:22">
      <c r="A32" s="68" t="s">
        <v>1612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>
        <f t="shared" si="2"/>
        <v>0</v>
      </c>
      <c r="S32" s="65"/>
      <c r="T32" s="75">
        <v>335</v>
      </c>
      <c r="U32" s="65"/>
      <c r="V32" s="65">
        <f t="shared" si="1"/>
        <v>0</v>
      </c>
    </row>
    <row r="33" spans="1:22">
      <c r="A33" s="68" t="s">
        <v>1613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>
        <f t="shared" si="2"/>
        <v>0</v>
      </c>
      <c r="S33" s="65"/>
      <c r="T33" s="75">
        <v>225</v>
      </c>
      <c r="U33" s="65"/>
      <c r="V33" s="65">
        <f t="shared" si="1"/>
        <v>0</v>
      </c>
    </row>
    <row r="34" spans="1:22">
      <c r="A34" s="68" t="s">
        <v>1614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>
        <f t="shared" si="2"/>
        <v>0</v>
      </c>
      <c r="S34" s="65"/>
      <c r="T34" s="75">
        <v>225</v>
      </c>
      <c r="U34" s="65"/>
      <c r="V34" s="65">
        <f t="shared" si="1"/>
        <v>0</v>
      </c>
    </row>
    <row r="35" spans="1:22">
      <c r="A35" s="68" t="s">
        <v>1998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>
        <f t="shared" si="2"/>
        <v>0</v>
      </c>
      <c r="S35" s="65"/>
      <c r="T35" s="75">
        <v>32</v>
      </c>
      <c r="U35" s="65"/>
      <c r="V35" s="65">
        <f t="shared" si="1"/>
        <v>0</v>
      </c>
    </row>
    <row r="36" spans="1:22">
      <c r="A36" s="68" t="s">
        <v>1616</v>
      </c>
      <c r="B36" s="71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>
        <f t="shared" si="2"/>
        <v>0</v>
      </c>
      <c r="S36" s="65"/>
      <c r="T36" s="75">
        <v>135</v>
      </c>
      <c r="U36" s="65"/>
      <c r="V36" s="65">
        <f t="shared" si="1"/>
        <v>0</v>
      </c>
    </row>
    <row r="37" spans="1:22">
      <c r="A37" s="66" t="s">
        <v>1617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>
        <f t="shared" si="2"/>
        <v>0</v>
      </c>
      <c r="S37" s="65"/>
      <c r="T37" s="76">
        <v>12</v>
      </c>
      <c r="U37" s="65"/>
      <c r="V37" s="65">
        <f t="shared" si="1"/>
        <v>0</v>
      </c>
    </row>
    <row r="38" spans="1:22">
      <c r="A38" s="66" t="s">
        <v>1600</v>
      </c>
      <c r="B38" s="65"/>
      <c r="C38" s="70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>
        <f t="shared" si="2"/>
        <v>0</v>
      </c>
      <c r="S38" s="65"/>
      <c r="T38" s="76">
        <v>12</v>
      </c>
      <c r="U38" s="65"/>
      <c r="V38" s="65">
        <f t="shared" si="1"/>
        <v>0</v>
      </c>
    </row>
    <row r="39" spans="1:22">
      <c r="A39" s="66" t="s">
        <v>1601</v>
      </c>
      <c r="B39" s="65"/>
      <c r="C39" s="70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>
        <f t="shared" si="2"/>
        <v>0</v>
      </c>
      <c r="S39" s="65"/>
      <c r="T39" s="76">
        <v>12</v>
      </c>
      <c r="U39" s="65"/>
      <c r="V39" s="65">
        <f t="shared" si="1"/>
        <v>0</v>
      </c>
    </row>
    <row r="40" spans="1:22">
      <c r="A40" s="68" t="s">
        <v>41</v>
      </c>
      <c r="B40" s="65"/>
      <c r="C40" s="70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>
        <f t="shared" si="2"/>
        <v>0</v>
      </c>
      <c r="S40" s="65"/>
      <c r="T40" s="76">
        <v>20</v>
      </c>
      <c r="U40" s="65"/>
      <c r="V40" s="65">
        <f t="shared" si="1"/>
        <v>0</v>
      </c>
    </row>
    <row r="41" spans="1:22">
      <c r="A41" s="68" t="s">
        <v>1999</v>
      </c>
      <c r="B41" s="72"/>
      <c r="C41" s="69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65">
        <f t="shared" si="2"/>
        <v>0</v>
      </c>
      <c r="S41" s="65"/>
      <c r="T41" s="76">
        <v>0.01</v>
      </c>
      <c r="U41" s="65"/>
      <c r="V41" s="65">
        <f t="shared" si="1"/>
        <v>0</v>
      </c>
    </row>
    <row r="42" spans="1:22">
      <c r="A42" s="68" t="s">
        <v>1577</v>
      </c>
      <c r="B42" s="72"/>
      <c r="C42" s="69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65">
        <f t="shared" si="2"/>
        <v>0</v>
      </c>
      <c r="S42" s="65"/>
      <c r="T42" s="76">
        <v>0.01</v>
      </c>
      <c r="U42" s="65"/>
      <c r="V42" s="65">
        <f t="shared" si="1"/>
        <v>0</v>
      </c>
    </row>
    <row r="43" spans="1:22">
      <c r="A43" s="66" t="s">
        <v>1596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>
        <f t="shared" si="2"/>
        <v>0</v>
      </c>
      <c r="S43" s="65"/>
      <c r="T43" s="75">
        <v>75</v>
      </c>
      <c r="U43" s="65"/>
      <c r="V43" s="65">
        <f t="shared" si="1"/>
        <v>0</v>
      </c>
    </row>
    <row r="44" spans="1:22">
      <c r="A44" s="66" t="s">
        <v>1578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>
        <f t="shared" si="2"/>
        <v>0</v>
      </c>
      <c r="S44" s="65"/>
      <c r="T44" s="75">
        <v>170</v>
      </c>
      <c r="U44" s="65"/>
      <c r="V44" s="65">
        <f t="shared" si="1"/>
        <v>0</v>
      </c>
    </row>
    <row r="45" spans="1:22">
      <c r="A45" s="68" t="s">
        <v>1620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>
        <f t="shared" si="2"/>
        <v>0</v>
      </c>
      <c r="S45" s="65"/>
      <c r="T45" s="75">
        <v>75</v>
      </c>
      <c r="U45" s="65"/>
      <c r="V45" s="65">
        <f t="shared" si="1"/>
        <v>0</v>
      </c>
    </row>
    <row r="46" spans="1:22">
      <c r="A46" s="73" t="s">
        <v>1231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1231</v>
      </c>
      <c r="R46" s="65">
        <f t="shared" ref="R46:V46" si="3">SUM(R2:R45)</f>
        <v>0</v>
      </c>
      <c r="S46" s="65">
        <f>SUM(S2:S41)</f>
        <v>0</v>
      </c>
      <c r="T46" s="73">
        <f t="shared" si="3"/>
        <v>15180.02</v>
      </c>
      <c r="U46" s="65">
        <f>SUM(U2:U41)</f>
        <v>0</v>
      </c>
      <c r="V46" s="77">
        <f t="shared" si="3"/>
        <v>0</v>
      </c>
    </row>
    <row r="47" spans="1:22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</row>
    <row r="48" spans="1:22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 t="s">
        <v>2000</v>
      </c>
      <c r="M48" s="74"/>
      <c r="N48" s="74"/>
      <c r="O48" s="74"/>
      <c r="P48" s="74"/>
      <c r="Q48" s="74"/>
      <c r="R48" s="74">
        <v>931075</v>
      </c>
      <c r="S48" s="74"/>
      <c r="T48" s="75">
        <f>SUM(T4:T47)</f>
        <v>30075.040000000001</v>
      </c>
      <c r="U48" s="74"/>
      <c r="V48" s="74">
        <v>1053535</v>
      </c>
    </row>
    <row r="49" spans="1:22" ht="48.75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>
        <f>R48-V46</f>
        <v>931075</v>
      </c>
      <c r="S49" s="74"/>
      <c r="T49" s="74"/>
      <c r="U49" s="74"/>
      <c r="V49" s="78">
        <f>V48-V46</f>
        <v>1053535</v>
      </c>
    </row>
    <row r="50" spans="1:22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>
        <v>942180</v>
      </c>
      <c r="U50" s="74"/>
      <c r="V50" s="74"/>
    </row>
    <row r="51" spans="1:22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>
        <v>942180</v>
      </c>
      <c r="U51" s="74"/>
      <c r="V51" s="74"/>
    </row>
    <row r="52" spans="1:2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>
        <f>T50-T51</f>
        <v>0</v>
      </c>
      <c r="U52" s="74"/>
      <c r="V52" s="74"/>
    </row>
  </sheetData>
  <autoFilter ref="A1:I46"/>
  <mergeCells count="1">
    <mergeCell ref="B1:I1"/>
  </mergeCells>
  <pageMargins left="0.69930555555555596" right="0.69930555555555596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273"/>
  <sheetViews>
    <sheetView topLeftCell="A10" zoomScale="55" zoomScaleNormal="55" workbookViewId="0"/>
  </sheetViews>
  <sheetFormatPr defaultColWidth="9.140625" defaultRowHeight="58.5"/>
  <cols>
    <col min="1" max="1" width="255.7109375"/>
    <col min="2" max="2" width="25.85546875" style="41" customWidth="1"/>
    <col min="3" max="3" width="67.7109375" customWidth="1"/>
    <col min="4" max="4" width="12.5703125" customWidth="1"/>
    <col min="5" max="5" width="18.28515625" style="42" customWidth="1"/>
    <col min="7" max="7" width="235.85546875" style="43"/>
    <col min="16" max="16" width="13.5703125"/>
  </cols>
  <sheetData>
    <row r="1" spans="1:16" ht="60">
      <c r="A1" s="44" t="s">
        <v>2001</v>
      </c>
      <c r="B1" s="45" t="s">
        <v>48</v>
      </c>
      <c r="C1" s="46" t="s">
        <v>15</v>
      </c>
      <c r="G1" s="43" t="s">
        <v>2002</v>
      </c>
      <c r="O1" s="53"/>
      <c r="P1" s="54"/>
    </row>
    <row r="2" spans="1:16">
      <c r="A2" s="47" t="s">
        <v>2003</v>
      </c>
      <c r="B2" s="45"/>
      <c r="G2" s="43" t="s">
        <v>2004</v>
      </c>
      <c r="O2" s="53" t="s">
        <v>2005</v>
      </c>
      <c r="P2" s="54">
        <v>90213900</v>
      </c>
    </row>
    <row r="3" spans="1:16">
      <c r="A3" s="47" t="s">
        <v>2006</v>
      </c>
      <c r="B3" s="45"/>
      <c r="G3" s="43" t="s">
        <v>2007</v>
      </c>
      <c r="O3" s="55" t="s">
        <v>2008</v>
      </c>
      <c r="P3" s="56"/>
    </row>
    <row r="4" spans="1:16">
      <c r="A4" s="47" t="s">
        <v>2009</v>
      </c>
      <c r="B4" s="45"/>
      <c r="D4" s="48"/>
      <c r="G4" s="43" t="s">
        <v>2010</v>
      </c>
    </row>
    <row r="5" spans="1:16">
      <c r="A5" s="47" t="s">
        <v>2011</v>
      </c>
      <c r="B5" s="49"/>
    </row>
    <row r="6" spans="1:16">
      <c r="A6" s="47" t="s">
        <v>2012</v>
      </c>
      <c r="B6" s="49"/>
      <c r="C6" t="s">
        <v>703</v>
      </c>
    </row>
    <row r="7" spans="1:16">
      <c r="A7" s="47" t="s">
        <v>2013</v>
      </c>
      <c r="B7" s="49"/>
    </row>
    <row r="8" spans="1:16">
      <c r="A8" s="47" t="s">
        <v>2014</v>
      </c>
      <c r="B8" s="49"/>
    </row>
    <row r="9" spans="1:16">
      <c r="A9" s="47" t="s">
        <v>1107</v>
      </c>
      <c r="B9" s="45">
        <v>90330000</v>
      </c>
    </row>
    <row r="10" spans="1:16">
      <c r="A10" s="47" t="s">
        <v>1107</v>
      </c>
      <c r="B10" s="45">
        <v>90330000</v>
      </c>
    </row>
    <row r="11" spans="1:16">
      <c r="A11" s="47" t="s">
        <v>2015</v>
      </c>
      <c r="B11" s="45"/>
    </row>
    <row r="12" spans="1:16">
      <c r="A12" s="47" t="s">
        <v>2016</v>
      </c>
      <c r="B12" s="45"/>
    </row>
    <row r="13" spans="1:16">
      <c r="A13" s="47" t="s">
        <v>2017</v>
      </c>
      <c r="B13" s="45">
        <v>90183220</v>
      </c>
    </row>
    <row r="14" spans="1:16">
      <c r="A14" s="47" t="s">
        <v>2018</v>
      </c>
      <c r="B14" s="45">
        <v>90183930</v>
      </c>
    </row>
    <row r="15" spans="1:16">
      <c r="A15" s="47" t="s">
        <v>2019</v>
      </c>
      <c r="B15" s="45">
        <v>70109000</v>
      </c>
    </row>
    <row r="16" spans="1:16">
      <c r="A16" s="47" t="s">
        <v>2020</v>
      </c>
      <c r="B16" s="45">
        <v>39239090</v>
      </c>
    </row>
    <row r="17" spans="1:7">
      <c r="A17" s="47" t="s">
        <v>2021</v>
      </c>
      <c r="B17" s="45"/>
    </row>
    <row r="18" spans="1:7">
      <c r="A18" s="47" t="s">
        <v>2022</v>
      </c>
      <c r="B18" s="45"/>
    </row>
    <row r="19" spans="1:7">
      <c r="A19" s="47" t="s">
        <v>2023</v>
      </c>
      <c r="B19" s="45">
        <v>39231090</v>
      </c>
      <c r="G19" s="43" t="s">
        <v>2024</v>
      </c>
    </row>
    <row r="20" spans="1:7">
      <c r="A20" s="47" t="s">
        <v>2025</v>
      </c>
      <c r="B20" s="45">
        <v>90183100</v>
      </c>
    </row>
    <row r="21" spans="1:7">
      <c r="A21" s="47" t="s">
        <v>2026</v>
      </c>
      <c r="B21" s="49">
        <v>40149090</v>
      </c>
    </row>
    <row r="22" spans="1:7">
      <c r="A22" s="47" t="s">
        <v>2026</v>
      </c>
      <c r="B22" s="45">
        <v>40149090</v>
      </c>
    </row>
    <row r="23" spans="1:7">
      <c r="A23" s="47" t="s">
        <v>2027</v>
      </c>
      <c r="B23" s="45">
        <v>83099020</v>
      </c>
    </row>
    <row r="24" spans="1:7">
      <c r="A24" s="47" t="s">
        <v>2028</v>
      </c>
      <c r="B24" s="49"/>
    </row>
    <row r="25" spans="1:7">
      <c r="A25" s="47" t="s">
        <v>2029</v>
      </c>
      <c r="B25" s="49"/>
    </row>
    <row r="26" spans="1:7">
      <c r="A26" s="47" t="s">
        <v>2030</v>
      </c>
      <c r="B26" s="45"/>
    </row>
    <row r="27" spans="1:7">
      <c r="A27" s="50" t="s">
        <v>2031</v>
      </c>
      <c r="B27" s="45"/>
    </row>
    <row r="28" spans="1:7">
      <c r="A28" s="47" t="s">
        <v>2032</v>
      </c>
      <c r="B28" s="45"/>
    </row>
    <row r="29" spans="1:7">
      <c r="A29" s="47" t="s">
        <v>2033</v>
      </c>
      <c r="B29" s="45">
        <v>84192010</v>
      </c>
    </row>
    <row r="30" spans="1:7" ht="67.5">
      <c r="A30" s="47" t="s">
        <v>2034</v>
      </c>
      <c r="B30" s="45"/>
    </row>
    <row r="31" spans="1:7">
      <c r="A31" s="47" t="s">
        <v>2035</v>
      </c>
      <c r="B31" s="45">
        <v>84514099</v>
      </c>
      <c r="G31" s="43" t="s">
        <v>2008</v>
      </c>
    </row>
    <row r="32" spans="1:7">
      <c r="A32" s="47" t="s">
        <v>2036</v>
      </c>
      <c r="B32" s="45"/>
    </row>
    <row r="33" spans="1:2" ht="67.5">
      <c r="A33" s="47" t="s">
        <v>2037</v>
      </c>
      <c r="B33" s="45"/>
    </row>
    <row r="34" spans="1:2">
      <c r="A34" s="47" t="s">
        <v>2038</v>
      </c>
      <c r="B34" s="45">
        <v>84192010</v>
      </c>
    </row>
    <row r="35" spans="1:2">
      <c r="A35" s="47" t="s">
        <v>2039</v>
      </c>
      <c r="B35" s="45">
        <v>84199090</v>
      </c>
    </row>
    <row r="36" spans="1:2">
      <c r="A36" s="47" t="s">
        <v>2040</v>
      </c>
      <c r="B36" s="45">
        <v>30043990</v>
      </c>
    </row>
    <row r="37" spans="1:2">
      <c r="A37" s="47" t="s">
        <v>2041</v>
      </c>
      <c r="B37" s="45">
        <v>90330000</v>
      </c>
    </row>
    <row r="38" spans="1:2">
      <c r="A38" s="47" t="s">
        <v>2042</v>
      </c>
      <c r="B38" s="45">
        <v>29333990</v>
      </c>
    </row>
    <row r="39" spans="1:2">
      <c r="A39" s="47" t="s">
        <v>2043</v>
      </c>
      <c r="B39" s="49"/>
    </row>
    <row r="40" spans="1:2">
      <c r="A40" s="47" t="s">
        <v>2044</v>
      </c>
      <c r="B40" s="45">
        <v>30049099</v>
      </c>
    </row>
    <row r="41" spans="1:2">
      <c r="A41" s="47" t="s">
        <v>2045</v>
      </c>
      <c r="B41" s="49">
        <v>30049099</v>
      </c>
    </row>
    <row r="42" spans="1:2">
      <c r="A42" s="47" t="s">
        <v>2046</v>
      </c>
      <c r="B42" s="45">
        <v>30049099</v>
      </c>
    </row>
    <row r="43" spans="1:2">
      <c r="A43" s="47" t="s">
        <v>2047</v>
      </c>
      <c r="B43" s="45"/>
    </row>
    <row r="44" spans="1:2">
      <c r="A44" s="47" t="s">
        <v>2048</v>
      </c>
      <c r="B44" s="45">
        <v>30049099</v>
      </c>
    </row>
    <row r="45" spans="1:2">
      <c r="A45" s="47" t="s">
        <v>2049</v>
      </c>
      <c r="B45" s="45"/>
    </row>
    <row r="46" spans="1:2">
      <c r="A46" s="47" t="s">
        <v>2050</v>
      </c>
      <c r="B46" s="45">
        <v>30049099</v>
      </c>
    </row>
    <row r="47" spans="1:2">
      <c r="A47" s="47" t="s">
        <v>2051</v>
      </c>
      <c r="B47" s="45">
        <v>30049099</v>
      </c>
    </row>
    <row r="48" spans="1:2">
      <c r="A48" s="47" t="s">
        <v>2052</v>
      </c>
      <c r="B48" s="45"/>
    </row>
    <row r="49" spans="1:2">
      <c r="A49" s="47" t="s">
        <v>2053</v>
      </c>
      <c r="B49" s="45"/>
    </row>
    <row r="50" spans="1:2">
      <c r="A50" s="47" t="s">
        <v>2054</v>
      </c>
      <c r="B50" s="45">
        <v>30043990</v>
      </c>
    </row>
    <row r="51" spans="1:2">
      <c r="A51" s="47" t="s">
        <v>2055</v>
      </c>
      <c r="B51" s="45">
        <v>30043990</v>
      </c>
    </row>
    <row r="52" spans="1:2">
      <c r="A52" s="51" t="s">
        <v>2056</v>
      </c>
      <c r="B52" s="45">
        <v>39069090</v>
      </c>
    </row>
    <row r="53" spans="1:2">
      <c r="A53" s="47" t="s">
        <v>2057</v>
      </c>
      <c r="B53" s="45">
        <v>30042019</v>
      </c>
    </row>
    <row r="54" spans="1:2">
      <c r="A54" s="47" t="s">
        <v>2058</v>
      </c>
      <c r="B54" s="45">
        <v>30042019</v>
      </c>
    </row>
    <row r="55" spans="1:2">
      <c r="A55" s="47" t="s">
        <v>2059</v>
      </c>
      <c r="B55" s="45">
        <v>30043990</v>
      </c>
    </row>
    <row r="56" spans="1:2">
      <c r="A56" s="47" t="s">
        <v>934</v>
      </c>
      <c r="B56" s="45">
        <v>30049099</v>
      </c>
    </row>
    <row r="57" spans="1:2">
      <c r="A57" s="47" t="s">
        <v>2060</v>
      </c>
      <c r="B57" s="45"/>
    </row>
    <row r="58" spans="1:2">
      <c r="A58" s="47" t="s">
        <v>2061</v>
      </c>
      <c r="B58" s="45"/>
    </row>
    <row r="59" spans="1:2">
      <c r="A59" s="47" t="s">
        <v>2062</v>
      </c>
      <c r="B59" s="45"/>
    </row>
    <row r="60" spans="1:2">
      <c r="A60" s="47" t="s">
        <v>2063</v>
      </c>
      <c r="B60" s="45"/>
    </row>
    <row r="61" spans="1:2">
      <c r="A61" s="47" t="s">
        <v>2064</v>
      </c>
      <c r="B61" s="45"/>
    </row>
    <row r="62" spans="1:2">
      <c r="A62" s="47" t="s">
        <v>2065</v>
      </c>
      <c r="B62" s="45"/>
    </row>
    <row r="63" spans="1:2">
      <c r="A63" s="47" t="s">
        <v>2066</v>
      </c>
      <c r="B63" s="52">
        <v>30043990</v>
      </c>
    </row>
    <row r="64" spans="1:2">
      <c r="A64" s="47" t="s">
        <v>2067</v>
      </c>
      <c r="B64" s="45">
        <v>30043990</v>
      </c>
    </row>
    <row r="65" spans="1:2" ht="67.5">
      <c r="A65" s="47" t="s">
        <v>2068</v>
      </c>
      <c r="B65" s="45">
        <v>30043990</v>
      </c>
    </row>
    <row r="66" spans="1:2" ht="67.5">
      <c r="A66" s="47" t="s">
        <v>2069</v>
      </c>
      <c r="B66" s="45"/>
    </row>
    <row r="67" spans="1:2" ht="67.5">
      <c r="A67" s="47" t="s">
        <v>2070</v>
      </c>
      <c r="B67" s="45">
        <v>30043990</v>
      </c>
    </row>
    <row r="68" spans="1:2" ht="67.5">
      <c r="A68" s="47" t="s">
        <v>2071</v>
      </c>
      <c r="B68" s="45">
        <v>30043990</v>
      </c>
    </row>
    <row r="69" spans="1:2" ht="67.5">
      <c r="A69" s="47" t="s">
        <v>2071</v>
      </c>
      <c r="B69" s="45">
        <v>30043990</v>
      </c>
    </row>
    <row r="70" spans="1:2">
      <c r="A70" s="47" t="s">
        <v>2072</v>
      </c>
      <c r="B70" s="45">
        <v>30049099</v>
      </c>
    </row>
    <row r="71" spans="1:2">
      <c r="A71" s="47" t="s">
        <v>2073</v>
      </c>
      <c r="B71" s="45">
        <v>30043990</v>
      </c>
    </row>
    <row r="72" spans="1:2">
      <c r="A72" s="47" t="s">
        <v>2074</v>
      </c>
      <c r="B72" s="45">
        <v>30043990</v>
      </c>
    </row>
    <row r="73" spans="1:2" ht="67.5">
      <c r="A73" s="47" t="s">
        <v>2075</v>
      </c>
      <c r="B73" s="45">
        <v>30043990</v>
      </c>
    </row>
    <row r="74" spans="1:2" ht="67.5">
      <c r="A74" s="47" t="s">
        <v>2076</v>
      </c>
      <c r="B74" s="45"/>
    </row>
    <row r="75" spans="1:2">
      <c r="A75" s="47" t="s">
        <v>2077</v>
      </c>
      <c r="B75" s="45">
        <v>30043990</v>
      </c>
    </row>
    <row r="76" spans="1:2">
      <c r="A76" s="47" t="s">
        <v>2078</v>
      </c>
      <c r="B76" s="45">
        <v>30043990</v>
      </c>
    </row>
    <row r="77" spans="1:2">
      <c r="A77" s="47" t="s">
        <v>2079</v>
      </c>
      <c r="B77" s="45"/>
    </row>
    <row r="78" spans="1:2">
      <c r="A78" s="47" t="s">
        <v>2080</v>
      </c>
      <c r="B78" s="49">
        <v>30043990</v>
      </c>
    </row>
    <row r="79" spans="1:2">
      <c r="A79" s="47" t="s">
        <v>2081</v>
      </c>
      <c r="B79" s="49">
        <v>30043990</v>
      </c>
    </row>
    <row r="80" spans="1:2" ht="67.5">
      <c r="A80" s="47" t="s">
        <v>2082</v>
      </c>
      <c r="B80" s="45">
        <v>30043990</v>
      </c>
    </row>
    <row r="81" spans="1:2">
      <c r="A81" s="47" t="s">
        <v>2083</v>
      </c>
      <c r="B81" s="45">
        <v>48191010</v>
      </c>
    </row>
    <row r="82" spans="1:2">
      <c r="A82" s="47" t="s">
        <v>2084</v>
      </c>
      <c r="B82" s="45">
        <v>30049099</v>
      </c>
    </row>
    <row r="83" spans="1:2">
      <c r="A83" s="47" t="s">
        <v>2085</v>
      </c>
      <c r="B83" s="45">
        <v>30043990</v>
      </c>
    </row>
    <row r="84" spans="1:2">
      <c r="A84" s="47" t="s">
        <v>2086</v>
      </c>
      <c r="B84" s="45"/>
    </row>
    <row r="85" spans="1:2">
      <c r="A85" s="47" t="s">
        <v>2087</v>
      </c>
      <c r="B85" s="45"/>
    </row>
    <row r="86" spans="1:2">
      <c r="A86" s="47" t="s">
        <v>2088</v>
      </c>
      <c r="B86" s="45">
        <v>30043990</v>
      </c>
    </row>
    <row r="87" spans="1:2">
      <c r="A87" s="47" t="s">
        <v>2089</v>
      </c>
      <c r="B87" s="45"/>
    </row>
    <row r="88" spans="1:2">
      <c r="A88" s="47" t="s">
        <v>53</v>
      </c>
      <c r="B88" s="45">
        <v>90189099</v>
      </c>
    </row>
    <row r="89" spans="1:2">
      <c r="A89" s="47" t="s">
        <v>2090</v>
      </c>
      <c r="B89" s="45">
        <v>84192090</v>
      </c>
    </row>
    <row r="90" spans="1:2">
      <c r="A90" s="47" t="s">
        <v>2091</v>
      </c>
      <c r="B90" s="45"/>
    </row>
    <row r="91" spans="1:2">
      <c r="A91" s="47" t="s">
        <v>2092</v>
      </c>
      <c r="B91" s="45"/>
    </row>
    <row r="92" spans="1:2" ht="67.5">
      <c r="A92" s="47" t="s">
        <v>2093</v>
      </c>
      <c r="B92" s="45"/>
    </row>
    <row r="93" spans="1:2" ht="67.5">
      <c r="A93" s="47" t="s">
        <v>2094</v>
      </c>
      <c r="B93" s="52">
        <v>30043990</v>
      </c>
    </row>
    <row r="94" spans="1:2">
      <c r="A94" s="47" t="s">
        <v>2095</v>
      </c>
      <c r="B94" s="45"/>
    </row>
    <row r="95" spans="1:2">
      <c r="A95" s="47" t="s">
        <v>2096</v>
      </c>
      <c r="B95" s="45">
        <v>30067000</v>
      </c>
    </row>
    <row r="96" spans="1:2">
      <c r="A96" s="47" t="s">
        <v>2096</v>
      </c>
      <c r="B96" s="45"/>
    </row>
    <row r="97" spans="1:2">
      <c r="A97" s="47" t="s">
        <v>2097</v>
      </c>
      <c r="B97" s="45"/>
    </row>
    <row r="98" spans="1:2">
      <c r="A98" s="47" t="s">
        <v>2098</v>
      </c>
      <c r="B98" s="45">
        <v>30049099</v>
      </c>
    </row>
    <row r="99" spans="1:2">
      <c r="A99" s="47" t="s">
        <v>2099</v>
      </c>
      <c r="B99" s="45">
        <v>48232000</v>
      </c>
    </row>
    <row r="100" spans="1:2">
      <c r="A100" s="47" t="s">
        <v>2100</v>
      </c>
      <c r="B100" s="45"/>
    </row>
    <row r="101" spans="1:2">
      <c r="A101" s="47" t="s">
        <v>2101</v>
      </c>
      <c r="B101" s="45">
        <v>30063000</v>
      </c>
    </row>
    <row r="102" spans="1:2">
      <c r="A102" s="47" t="s">
        <v>2102</v>
      </c>
      <c r="B102" s="49">
        <v>30063000</v>
      </c>
    </row>
    <row r="103" spans="1:2">
      <c r="A103" s="47" t="s">
        <v>2103</v>
      </c>
      <c r="B103" s="45">
        <v>30063000</v>
      </c>
    </row>
    <row r="104" spans="1:2">
      <c r="A104" s="47" t="s">
        <v>2104</v>
      </c>
      <c r="B104" s="45">
        <v>30063000</v>
      </c>
    </row>
    <row r="105" spans="1:2">
      <c r="A105" s="47" t="s">
        <v>2105</v>
      </c>
      <c r="B105" s="45">
        <v>30063000</v>
      </c>
    </row>
    <row r="106" spans="1:2">
      <c r="A106" s="47" t="s">
        <v>2106</v>
      </c>
      <c r="B106" s="45"/>
    </row>
    <row r="107" spans="1:2">
      <c r="A107" s="47" t="s">
        <v>2107</v>
      </c>
      <c r="B107" s="45"/>
    </row>
    <row r="108" spans="1:2">
      <c r="A108" s="47" t="s">
        <v>2108</v>
      </c>
      <c r="B108" s="45"/>
    </row>
    <row r="109" spans="1:2">
      <c r="A109" s="47" t="s">
        <v>2109</v>
      </c>
      <c r="B109" s="45"/>
    </row>
    <row r="110" spans="1:2">
      <c r="A110" s="47" t="s">
        <v>2110</v>
      </c>
      <c r="B110" s="45"/>
    </row>
    <row r="111" spans="1:2">
      <c r="A111" s="47" t="s">
        <v>2111</v>
      </c>
      <c r="B111" s="45">
        <v>84138130</v>
      </c>
    </row>
    <row r="112" spans="1:2">
      <c r="A112" s="47" t="s">
        <v>2112</v>
      </c>
      <c r="B112" s="52"/>
    </row>
    <row r="113" spans="1:2">
      <c r="A113" s="47" t="s">
        <v>2113</v>
      </c>
      <c r="B113" s="45"/>
    </row>
    <row r="114" spans="1:2" ht="33.75" customHeight="1">
      <c r="A114" s="47" t="s">
        <v>2114</v>
      </c>
      <c r="B114" s="45">
        <v>30043990</v>
      </c>
    </row>
    <row r="115" spans="1:2" ht="33.75" customHeight="1">
      <c r="A115" s="47" t="s">
        <v>2115</v>
      </c>
      <c r="B115" s="45">
        <v>39239090</v>
      </c>
    </row>
    <row r="116" spans="1:2" ht="33.75" customHeight="1">
      <c r="A116" s="51" t="s">
        <v>2116</v>
      </c>
      <c r="B116" s="45">
        <v>30063000</v>
      </c>
    </row>
    <row r="117" spans="1:2" ht="33.75" customHeight="1">
      <c r="A117" s="47" t="s">
        <v>2117</v>
      </c>
      <c r="B117" s="45">
        <v>30043990</v>
      </c>
    </row>
    <row r="118" spans="1:2" ht="33.75" customHeight="1">
      <c r="A118" s="47" t="s">
        <v>2118</v>
      </c>
      <c r="B118" s="45">
        <v>30043990</v>
      </c>
    </row>
    <row r="119" spans="1:2" ht="33.75" customHeight="1">
      <c r="A119" s="47" t="s">
        <v>2119</v>
      </c>
      <c r="B119" s="45"/>
    </row>
    <row r="120" spans="1:2" ht="33.75" customHeight="1">
      <c r="A120" s="47" t="s">
        <v>2120</v>
      </c>
      <c r="B120" s="45">
        <v>30043990</v>
      </c>
    </row>
    <row r="121" spans="1:2" ht="33.75" customHeight="1">
      <c r="A121" s="47" t="s">
        <v>2121</v>
      </c>
      <c r="B121" s="45">
        <v>30043990</v>
      </c>
    </row>
    <row r="122" spans="1:2" ht="33.75" customHeight="1">
      <c r="A122" s="47" t="s">
        <v>2122</v>
      </c>
      <c r="B122" s="45">
        <v>30043990</v>
      </c>
    </row>
    <row r="123" spans="1:2" ht="33.75" customHeight="1">
      <c r="A123" s="47" t="s">
        <v>2123</v>
      </c>
      <c r="B123" s="52">
        <v>30043990</v>
      </c>
    </row>
    <row r="124" spans="1:2">
      <c r="A124" s="47" t="s">
        <v>2124</v>
      </c>
      <c r="B124" s="45">
        <v>30043990</v>
      </c>
    </row>
    <row r="125" spans="1:2">
      <c r="A125" s="47" t="s">
        <v>2125</v>
      </c>
      <c r="B125" s="45">
        <v>90213900</v>
      </c>
    </row>
    <row r="126" spans="1:2" ht="67.5">
      <c r="A126" s="47" t="s">
        <v>2126</v>
      </c>
      <c r="B126" s="45">
        <v>30043990</v>
      </c>
    </row>
    <row r="127" spans="1:2">
      <c r="A127" s="47" t="s">
        <v>2127</v>
      </c>
      <c r="B127" s="45">
        <v>30043990</v>
      </c>
    </row>
    <row r="128" spans="1:2">
      <c r="A128" s="47" t="s">
        <v>2128</v>
      </c>
      <c r="B128" s="45"/>
    </row>
    <row r="129" spans="1:2">
      <c r="A129" s="51" t="s">
        <v>2129</v>
      </c>
      <c r="B129" s="45"/>
    </row>
    <row r="130" spans="1:2">
      <c r="A130" s="47" t="s">
        <v>2130</v>
      </c>
      <c r="B130" s="49">
        <v>30043990</v>
      </c>
    </row>
    <row r="131" spans="1:2">
      <c r="A131" s="47" t="s">
        <v>2131</v>
      </c>
      <c r="B131" s="45"/>
    </row>
    <row r="132" spans="1:2">
      <c r="A132" s="47" t="s">
        <v>2132</v>
      </c>
      <c r="B132" s="49"/>
    </row>
    <row r="133" spans="1:2">
      <c r="A133" s="47" t="s">
        <v>2133</v>
      </c>
      <c r="B133" s="57">
        <v>30067000</v>
      </c>
    </row>
    <row r="134" spans="1:2">
      <c r="A134" s="47" t="s">
        <v>2134</v>
      </c>
      <c r="B134" s="45"/>
    </row>
    <row r="135" spans="1:2">
      <c r="A135" s="47" t="s">
        <v>2135</v>
      </c>
      <c r="B135" s="45">
        <v>30043990</v>
      </c>
    </row>
    <row r="136" spans="1:2">
      <c r="A136" s="47" t="s">
        <v>2136</v>
      </c>
      <c r="B136" s="45">
        <v>30043990</v>
      </c>
    </row>
    <row r="137" spans="1:2">
      <c r="A137" s="47" t="s">
        <v>2136</v>
      </c>
      <c r="B137" s="45"/>
    </row>
    <row r="138" spans="1:2">
      <c r="A138" s="47" t="s">
        <v>2137</v>
      </c>
      <c r="B138" s="45">
        <v>30067000</v>
      </c>
    </row>
    <row r="139" spans="1:2">
      <c r="A139" s="47" t="s">
        <v>2138</v>
      </c>
      <c r="B139" s="49">
        <v>30043990</v>
      </c>
    </row>
    <row r="140" spans="1:2">
      <c r="A140" s="47" t="s">
        <v>2139</v>
      </c>
      <c r="B140" s="45"/>
    </row>
    <row r="141" spans="1:2" ht="67.5">
      <c r="A141" s="47" t="s">
        <v>2140</v>
      </c>
      <c r="B141" s="45">
        <v>30043990</v>
      </c>
    </row>
    <row r="142" spans="1:2" ht="67.5">
      <c r="A142" s="47" t="s">
        <v>2141</v>
      </c>
      <c r="B142" s="45">
        <v>30067000</v>
      </c>
    </row>
    <row r="143" spans="1:2">
      <c r="A143" s="47" t="s">
        <v>2142</v>
      </c>
      <c r="B143" s="45">
        <v>30063000</v>
      </c>
    </row>
    <row r="144" spans="1:2">
      <c r="A144" s="47" t="s">
        <v>2143</v>
      </c>
      <c r="B144" s="45">
        <v>30043990</v>
      </c>
    </row>
    <row r="145" spans="1:2">
      <c r="A145" s="47" t="s">
        <v>2144</v>
      </c>
      <c r="B145" s="45">
        <v>98020000</v>
      </c>
    </row>
    <row r="146" spans="1:2">
      <c r="A146" s="47" t="s">
        <v>2145</v>
      </c>
      <c r="B146" s="45">
        <v>29152990</v>
      </c>
    </row>
    <row r="147" spans="1:2">
      <c r="A147" s="47" t="s">
        <v>2146</v>
      </c>
      <c r="B147" s="45">
        <v>29181520</v>
      </c>
    </row>
    <row r="148" spans="1:2">
      <c r="A148" s="47" t="s">
        <v>2147</v>
      </c>
      <c r="B148" s="49"/>
    </row>
    <row r="149" spans="1:2">
      <c r="A149" s="47" t="s">
        <v>2148</v>
      </c>
      <c r="B149" s="45">
        <v>39100020</v>
      </c>
    </row>
    <row r="150" spans="1:2">
      <c r="A150" s="47" t="s">
        <v>2149</v>
      </c>
      <c r="B150" s="45"/>
    </row>
    <row r="151" spans="1:2">
      <c r="A151" s="47" t="s">
        <v>2150</v>
      </c>
      <c r="B151" s="45">
        <v>29309099</v>
      </c>
    </row>
    <row r="152" spans="1:2">
      <c r="A152" s="47" t="s">
        <v>2151</v>
      </c>
      <c r="B152" s="45"/>
    </row>
    <row r="153" spans="1:2">
      <c r="A153" s="47" t="s">
        <v>2152</v>
      </c>
      <c r="B153" s="45">
        <v>30043990</v>
      </c>
    </row>
    <row r="154" spans="1:2">
      <c r="A154" s="47" t="s">
        <v>2153</v>
      </c>
      <c r="B154" s="45"/>
    </row>
    <row r="155" spans="1:2">
      <c r="A155" s="47" t="s">
        <v>2154</v>
      </c>
      <c r="B155" s="45"/>
    </row>
    <row r="156" spans="1:2">
      <c r="A156" s="47" t="s">
        <v>2155</v>
      </c>
      <c r="B156" s="45"/>
    </row>
    <row r="157" spans="1:2">
      <c r="A157" s="47" t="s">
        <v>2156</v>
      </c>
      <c r="B157" s="45"/>
    </row>
    <row r="158" spans="1:2">
      <c r="A158" s="47" t="s">
        <v>2157</v>
      </c>
      <c r="B158" s="45"/>
    </row>
    <row r="159" spans="1:2">
      <c r="A159" s="47" t="s">
        <v>2158</v>
      </c>
      <c r="B159" s="45">
        <v>90183930</v>
      </c>
    </row>
    <row r="160" spans="1:2">
      <c r="A160" s="47" t="s">
        <v>2159</v>
      </c>
      <c r="B160" s="45">
        <v>30043990</v>
      </c>
    </row>
    <row r="161" spans="1:2">
      <c r="A161" s="47" t="s">
        <v>2160</v>
      </c>
      <c r="B161" s="45">
        <v>30049099</v>
      </c>
    </row>
    <row r="162" spans="1:2">
      <c r="A162" s="47" t="s">
        <v>2161</v>
      </c>
      <c r="B162" s="49"/>
    </row>
    <row r="163" spans="1:2">
      <c r="A163" s="47" t="s">
        <v>2162</v>
      </c>
      <c r="B163" s="45">
        <v>30043990</v>
      </c>
    </row>
    <row r="164" spans="1:2">
      <c r="A164" s="47" t="s">
        <v>2163</v>
      </c>
      <c r="B164" s="45">
        <v>30043990</v>
      </c>
    </row>
    <row r="165" spans="1:2">
      <c r="A165" s="47" t="s">
        <v>2164</v>
      </c>
      <c r="B165" s="45">
        <v>30049029</v>
      </c>
    </row>
    <row r="166" spans="1:2">
      <c r="A166" s="47" t="s">
        <v>2165</v>
      </c>
      <c r="B166" s="49"/>
    </row>
    <row r="167" spans="1:2">
      <c r="A167" s="47" t="s">
        <v>2166</v>
      </c>
      <c r="B167" s="45">
        <v>39239020</v>
      </c>
    </row>
    <row r="168" spans="1:2">
      <c r="A168" s="47" t="s">
        <v>2167</v>
      </c>
      <c r="B168" s="45">
        <v>39239020</v>
      </c>
    </row>
    <row r="169" spans="1:2">
      <c r="A169" s="47" t="s">
        <v>2168</v>
      </c>
      <c r="B169" s="45">
        <v>30049099</v>
      </c>
    </row>
    <row r="170" spans="1:2">
      <c r="A170" s="47" t="s">
        <v>2169</v>
      </c>
      <c r="B170" s="45">
        <v>48119099</v>
      </c>
    </row>
    <row r="171" spans="1:2">
      <c r="A171" s="47" t="s">
        <v>1109</v>
      </c>
      <c r="B171" s="45"/>
    </row>
    <row r="172" spans="1:2">
      <c r="A172" s="47" t="s">
        <v>1109</v>
      </c>
      <c r="B172" s="45">
        <v>90330000</v>
      </c>
    </row>
    <row r="173" spans="1:2">
      <c r="A173" s="47" t="s">
        <v>2170</v>
      </c>
      <c r="B173" s="49"/>
    </row>
    <row r="174" spans="1:2">
      <c r="A174" s="47" t="s">
        <v>2170</v>
      </c>
      <c r="B174" s="49"/>
    </row>
    <row r="175" spans="1:2">
      <c r="A175" s="47" t="s">
        <v>1001</v>
      </c>
      <c r="B175" s="45"/>
    </row>
    <row r="176" spans="1:2">
      <c r="A176" s="47" t="s">
        <v>1001</v>
      </c>
      <c r="B176" s="45">
        <v>90330000</v>
      </c>
    </row>
    <row r="177" spans="1:2">
      <c r="A177" s="47" t="s">
        <v>2171</v>
      </c>
      <c r="B177" s="45"/>
    </row>
    <row r="178" spans="1:2">
      <c r="A178" s="47" t="s">
        <v>2172</v>
      </c>
      <c r="B178" s="49"/>
    </row>
    <row r="179" spans="1:2">
      <c r="A179" s="47" t="s">
        <v>2173</v>
      </c>
      <c r="B179" s="45"/>
    </row>
    <row r="180" spans="1:2">
      <c r="A180" s="47" t="s">
        <v>2174</v>
      </c>
      <c r="B180" s="45"/>
    </row>
    <row r="181" spans="1:2">
      <c r="A181" s="47" t="s">
        <v>2175</v>
      </c>
      <c r="B181" s="45">
        <v>30043990</v>
      </c>
    </row>
    <row r="182" spans="1:2">
      <c r="A182" s="47" t="s">
        <v>2176</v>
      </c>
      <c r="B182" s="45"/>
    </row>
    <row r="183" spans="1:2">
      <c r="A183" s="47" t="s">
        <v>2177</v>
      </c>
      <c r="B183" s="45">
        <v>84514099</v>
      </c>
    </row>
    <row r="184" spans="1:2">
      <c r="A184" s="47" t="s">
        <v>2178</v>
      </c>
      <c r="B184" s="52"/>
    </row>
    <row r="185" spans="1:2">
      <c r="A185" s="47" t="s">
        <v>2179</v>
      </c>
      <c r="B185" s="45">
        <v>29053200</v>
      </c>
    </row>
    <row r="186" spans="1:2">
      <c r="A186" s="47" t="s">
        <v>2180</v>
      </c>
      <c r="B186" s="45"/>
    </row>
    <row r="187" spans="1:2">
      <c r="A187" s="47" t="s">
        <v>2181</v>
      </c>
      <c r="B187" s="45">
        <v>30043990</v>
      </c>
    </row>
    <row r="188" spans="1:2">
      <c r="A188" s="47" t="s">
        <v>2182</v>
      </c>
      <c r="B188" s="45">
        <v>30043990</v>
      </c>
    </row>
    <row r="189" spans="1:2">
      <c r="A189" s="47" t="s">
        <v>2183</v>
      </c>
      <c r="B189" s="45">
        <v>30063000</v>
      </c>
    </row>
    <row r="190" spans="1:2">
      <c r="A190" s="47" t="s">
        <v>2184</v>
      </c>
      <c r="B190" s="45">
        <v>30049099</v>
      </c>
    </row>
    <row r="191" spans="1:2">
      <c r="A191" s="47" t="s">
        <v>2185</v>
      </c>
      <c r="B191" s="45"/>
    </row>
    <row r="192" spans="1:2">
      <c r="A192" s="47" t="s">
        <v>2186</v>
      </c>
      <c r="B192" s="45">
        <v>30043990</v>
      </c>
    </row>
    <row r="193" spans="1:2">
      <c r="A193" s="47" t="s">
        <v>2187</v>
      </c>
      <c r="B193" s="45">
        <v>30049099</v>
      </c>
    </row>
    <row r="194" spans="1:2">
      <c r="A194" s="47" t="s">
        <v>2188</v>
      </c>
      <c r="B194" s="58">
        <v>30049099</v>
      </c>
    </row>
    <row r="195" spans="1:2">
      <c r="A195" s="47" t="s">
        <v>2189</v>
      </c>
      <c r="B195" s="45"/>
    </row>
    <row r="196" spans="1:2">
      <c r="A196" s="47" t="s">
        <v>2190</v>
      </c>
      <c r="B196" s="45">
        <v>56031300</v>
      </c>
    </row>
    <row r="197" spans="1:2">
      <c r="A197" s="47" t="s">
        <v>2191</v>
      </c>
      <c r="B197" s="49">
        <v>30043990</v>
      </c>
    </row>
    <row r="198" spans="1:2" ht="67.5">
      <c r="A198" s="47" t="s">
        <v>2192</v>
      </c>
      <c r="B198" s="45">
        <v>30043990</v>
      </c>
    </row>
    <row r="199" spans="1:2" ht="67.5">
      <c r="A199" s="47" t="s">
        <v>2193</v>
      </c>
      <c r="B199" s="45">
        <v>30043990</v>
      </c>
    </row>
    <row r="200" spans="1:2" ht="67.5">
      <c r="A200" s="47" t="s">
        <v>2194</v>
      </c>
      <c r="B200" s="45">
        <v>30043990</v>
      </c>
    </row>
    <row r="201" spans="1:2">
      <c r="A201" s="47" t="s">
        <v>2195</v>
      </c>
      <c r="B201" s="45">
        <v>30067000</v>
      </c>
    </row>
    <row r="202" spans="1:2">
      <c r="A202" s="47" t="s">
        <v>2196</v>
      </c>
      <c r="B202" s="45">
        <v>84223000</v>
      </c>
    </row>
    <row r="203" spans="1:2">
      <c r="A203" s="47" t="s">
        <v>2197</v>
      </c>
      <c r="B203" s="45">
        <v>84223000</v>
      </c>
    </row>
    <row r="204" spans="1:2">
      <c r="A204" s="47" t="s">
        <v>2198</v>
      </c>
      <c r="B204" s="59">
        <v>84199090</v>
      </c>
    </row>
    <row r="205" spans="1:2">
      <c r="A205" s="47" t="s">
        <v>2199</v>
      </c>
      <c r="B205" s="59">
        <v>30067000</v>
      </c>
    </row>
    <row r="206" spans="1:2">
      <c r="A206" s="47" t="s">
        <v>2200</v>
      </c>
      <c r="B206" s="60"/>
    </row>
    <row r="207" spans="1:2">
      <c r="A207" s="47" t="s">
        <v>2201</v>
      </c>
      <c r="B207" s="59">
        <v>30067000</v>
      </c>
    </row>
    <row r="208" spans="1:2">
      <c r="A208" s="47" t="s">
        <v>2202</v>
      </c>
      <c r="B208" s="59">
        <v>30067000</v>
      </c>
    </row>
    <row r="209" spans="1:2" ht="67.5">
      <c r="A209" s="47" t="s">
        <v>2203</v>
      </c>
      <c r="B209" s="59">
        <v>30067000</v>
      </c>
    </row>
    <row r="210" spans="1:2">
      <c r="A210" s="47" t="s">
        <v>2204</v>
      </c>
      <c r="B210" s="59">
        <v>30067000</v>
      </c>
    </row>
    <row r="211" spans="1:2">
      <c r="A211" s="47" t="s">
        <v>2205</v>
      </c>
      <c r="B211" s="59"/>
    </row>
    <row r="212" spans="1:2">
      <c r="A212" s="47" t="s">
        <v>2206</v>
      </c>
      <c r="B212" s="59">
        <v>30067000</v>
      </c>
    </row>
    <row r="213" spans="1:2">
      <c r="A213" s="47" t="s">
        <v>2207</v>
      </c>
      <c r="B213" s="59"/>
    </row>
    <row r="214" spans="1:2" ht="67.5">
      <c r="A214" s="47" t="s">
        <v>2208</v>
      </c>
      <c r="B214" s="59">
        <v>30043990</v>
      </c>
    </row>
    <row r="215" spans="1:2" ht="67.5">
      <c r="A215" s="47" t="s">
        <v>2209</v>
      </c>
      <c r="B215" s="61">
        <v>30043990</v>
      </c>
    </row>
    <row r="216" spans="1:2">
      <c r="A216" s="47" t="s">
        <v>2210</v>
      </c>
      <c r="B216" s="61">
        <v>30049099</v>
      </c>
    </row>
    <row r="217" spans="1:2">
      <c r="A217" s="47" t="s">
        <v>2211</v>
      </c>
      <c r="B217" s="61">
        <v>30063000</v>
      </c>
    </row>
    <row r="218" spans="1:2">
      <c r="A218" s="47" t="s">
        <v>2212</v>
      </c>
      <c r="B218" s="61">
        <v>30063000</v>
      </c>
    </row>
    <row r="219" spans="1:2">
      <c r="A219" s="51" t="s">
        <v>2213</v>
      </c>
      <c r="B219" s="61">
        <v>30043990</v>
      </c>
    </row>
    <row r="220" spans="1:2" ht="67.5">
      <c r="A220" s="51" t="s">
        <v>2214</v>
      </c>
      <c r="B220" s="41">
        <v>30067000</v>
      </c>
    </row>
    <row r="221" spans="1:2">
      <c r="A221" s="47" t="s">
        <v>2127</v>
      </c>
      <c r="B221" s="41">
        <v>30043990</v>
      </c>
    </row>
    <row r="222" spans="1:2">
      <c r="A222" s="51" t="s">
        <v>2215</v>
      </c>
      <c r="B222" s="41">
        <v>39239090</v>
      </c>
    </row>
    <row r="223" spans="1:2">
      <c r="A223" s="51" t="s">
        <v>2216</v>
      </c>
      <c r="B223" s="41">
        <v>98020000</v>
      </c>
    </row>
    <row r="224" spans="1:2">
      <c r="A224" s="51" t="s">
        <v>2217</v>
      </c>
      <c r="B224" s="41">
        <v>28321010</v>
      </c>
    </row>
    <row r="225" spans="1:2">
      <c r="A225" s="47" t="s">
        <v>2218</v>
      </c>
      <c r="B225" s="41">
        <v>30067000</v>
      </c>
    </row>
    <row r="226" spans="1:2">
      <c r="A226" s="47" t="s">
        <v>2219</v>
      </c>
      <c r="B226" s="41">
        <v>30043990</v>
      </c>
    </row>
    <row r="227" spans="1:2">
      <c r="A227" s="51" t="s">
        <v>2220</v>
      </c>
      <c r="B227" s="41">
        <v>30067000</v>
      </c>
    </row>
    <row r="228" spans="1:2">
      <c r="A228" s="62" t="s">
        <v>2102</v>
      </c>
      <c r="B228" s="41">
        <v>30063000</v>
      </c>
    </row>
    <row r="229" spans="1:2">
      <c r="A229" s="62" t="s">
        <v>2221</v>
      </c>
      <c r="B229" s="41">
        <v>30067000</v>
      </c>
    </row>
    <row r="230" spans="1:2">
      <c r="A230" s="51" t="s">
        <v>2222</v>
      </c>
      <c r="B230" s="41">
        <v>30043990</v>
      </c>
    </row>
    <row r="231" spans="1:2">
      <c r="A231" s="51" t="s">
        <v>2223</v>
      </c>
      <c r="B231" s="41">
        <v>29225090</v>
      </c>
    </row>
    <row r="232" spans="1:2">
      <c r="A232" s="47" t="s">
        <v>2224</v>
      </c>
      <c r="B232" s="41">
        <v>30049099</v>
      </c>
    </row>
    <row r="233" spans="1:2">
      <c r="A233" s="47" t="s">
        <v>2225</v>
      </c>
      <c r="B233" s="41">
        <v>30067000</v>
      </c>
    </row>
    <row r="234" spans="1:2" ht="67.5">
      <c r="A234" s="47" t="s">
        <v>2226</v>
      </c>
      <c r="B234" s="41">
        <v>30043990</v>
      </c>
    </row>
    <row r="235" spans="1:2">
      <c r="A235" s="62" t="s">
        <v>2227</v>
      </c>
      <c r="B235" s="41">
        <v>30063000</v>
      </c>
    </row>
    <row r="236" spans="1:2">
      <c r="A236" s="62" t="s">
        <v>2228</v>
      </c>
      <c r="B236" s="41">
        <v>30063000</v>
      </c>
    </row>
    <row r="237" spans="1:2">
      <c r="A237" s="51" t="s">
        <v>2229</v>
      </c>
      <c r="B237" s="41">
        <v>30067000</v>
      </c>
    </row>
    <row r="238" spans="1:2" ht="67.5">
      <c r="A238" s="47" t="s">
        <v>2230</v>
      </c>
      <c r="B238" s="41">
        <v>30067000</v>
      </c>
    </row>
    <row r="239" spans="1:2">
      <c r="A239" s="47" t="s">
        <v>2231</v>
      </c>
      <c r="B239" s="41">
        <v>30063000</v>
      </c>
    </row>
    <row r="240" spans="1:2">
      <c r="A240" s="47" t="s">
        <v>2232</v>
      </c>
      <c r="B240" s="41">
        <v>30043990</v>
      </c>
    </row>
    <row r="241" spans="1:2">
      <c r="A241" s="47" t="s">
        <v>2233</v>
      </c>
      <c r="B241" s="41">
        <v>30043990</v>
      </c>
    </row>
    <row r="242" spans="1:2">
      <c r="A242" s="47" t="s">
        <v>2125</v>
      </c>
      <c r="B242" s="41">
        <v>30043990</v>
      </c>
    </row>
    <row r="243" spans="1:2">
      <c r="A243" s="51" t="s">
        <v>2234</v>
      </c>
      <c r="B243" s="41">
        <v>30043990</v>
      </c>
    </row>
    <row r="244" spans="1:2">
      <c r="A244" s="51" t="s">
        <v>2235</v>
      </c>
      <c r="B244" s="41">
        <v>30043990</v>
      </c>
    </row>
    <row r="245" spans="1:2">
      <c r="A245" s="47" t="s">
        <v>2236</v>
      </c>
      <c r="B245" s="41">
        <v>30067000</v>
      </c>
    </row>
    <row r="246" spans="1:2">
      <c r="A246" s="51" t="s">
        <v>2237</v>
      </c>
      <c r="B246" s="41">
        <v>29372200</v>
      </c>
    </row>
    <row r="247" spans="1:2">
      <c r="A247" s="51" t="s">
        <v>2238</v>
      </c>
      <c r="B247" s="41">
        <v>29372900</v>
      </c>
    </row>
    <row r="248" spans="1:2">
      <c r="A248" s="51" t="s">
        <v>2239</v>
      </c>
      <c r="B248" s="41">
        <v>39059910</v>
      </c>
    </row>
    <row r="249" spans="1:2">
      <c r="A249" s="51" t="s">
        <v>2240</v>
      </c>
      <c r="B249" s="41">
        <v>29420090</v>
      </c>
    </row>
    <row r="250" spans="1:2">
      <c r="A250" s="51" t="s">
        <v>2241</v>
      </c>
      <c r="B250" s="41">
        <v>29054400</v>
      </c>
    </row>
    <row r="251" spans="1:2">
      <c r="A251" s="51" t="s">
        <v>2242</v>
      </c>
    </row>
    <row r="252" spans="1:2">
      <c r="A252" s="51" t="s">
        <v>2243</v>
      </c>
      <c r="B252" s="41">
        <v>30043990</v>
      </c>
    </row>
    <row r="253" spans="1:2">
      <c r="A253" s="51" t="s">
        <v>2244</v>
      </c>
      <c r="B253" s="41">
        <v>30043990</v>
      </c>
    </row>
    <row r="254" spans="1:2">
      <c r="A254" s="51" t="s">
        <v>2245</v>
      </c>
      <c r="B254" s="41">
        <v>30042019</v>
      </c>
    </row>
    <row r="255" spans="1:2">
      <c r="A255" s="51" t="s">
        <v>2246</v>
      </c>
      <c r="B255" s="41">
        <v>30043990</v>
      </c>
    </row>
    <row r="256" spans="1:2">
      <c r="A256" s="51" t="s">
        <v>2247</v>
      </c>
      <c r="B256" s="41">
        <v>30043990</v>
      </c>
    </row>
    <row r="257" spans="1:2">
      <c r="A257" s="51" t="s">
        <v>2248</v>
      </c>
      <c r="B257" s="41">
        <v>90012000</v>
      </c>
    </row>
    <row r="258" spans="1:2">
      <c r="A258" s="51" t="s">
        <v>41</v>
      </c>
      <c r="B258" s="41">
        <v>90185090</v>
      </c>
    </row>
    <row r="259" spans="1:2">
      <c r="A259" s="51" t="s">
        <v>2249</v>
      </c>
      <c r="B259" s="41">
        <v>90213900</v>
      </c>
    </row>
    <row r="260" spans="1:2">
      <c r="A260" s="51" t="s">
        <v>2250</v>
      </c>
      <c r="B260" s="41">
        <v>90185090</v>
      </c>
    </row>
    <row r="261" spans="1:2">
      <c r="A261" s="51" t="s">
        <v>2251</v>
      </c>
      <c r="B261" s="41">
        <v>30043990</v>
      </c>
    </row>
    <row r="262" spans="1:2">
      <c r="A262" s="51" t="s">
        <v>2252</v>
      </c>
      <c r="B262" s="41">
        <v>30043990</v>
      </c>
    </row>
    <row r="263" spans="1:2">
      <c r="A263" s="47" t="s">
        <v>2253</v>
      </c>
      <c r="B263" s="41">
        <v>48054000</v>
      </c>
    </row>
    <row r="264" spans="1:2">
      <c r="A264" s="62" t="s">
        <v>2254</v>
      </c>
    </row>
    <row r="265" spans="1:2" ht="67.5">
      <c r="A265" s="62" t="s">
        <v>2255</v>
      </c>
      <c r="B265" s="41">
        <v>30043990</v>
      </c>
    </row>
    <row r="266" spans="1:2">
      <c r="A266" s="51" t="s">
        <v>2256</v>
      </c>
      <c r="B266" s="41">
        <v>30063000</v>
      </c>
    </row>
    <row r="267" spans="1:2">
      <c r="A267" s="51" t="s">
        <v>2257</v>
      </c>
      <c r="B267" s="41">
        <v>30043990</v>
      </c>
    </row>
    <row r="268" spans="1:2">
      <c r="A268" s="51" t="s">
        <v>2258</v>
      </c>
      <c r="B268" s="41">
        <v>30042039</v>
      </c>
    </row>
    <row r="269" spans="1:2">
      <c r="A269" s="51" t="s">
        <v>2246</v>
      </c>
    </row>
    <row r="270" spans="1:2">
      <c r="A270" s="51" t="s">
        <v>2254</v>
      </c>
    </row>
    <row r="271" spans="1:2">
      <c r="A271" s="51" t="s">
        <v>2259</v>
      </c>
      <c r="B271" s="41">
        <v>30049099</v>
      </c>
    </row>
    <row r="272" spans="1:2">
      <c r="A272" s="51" t="s">
        <v>2260</v>
      </c>
    </row>
    <row r="273" spans="1:2">
      <c r="A273" s="63" t="s">
        <v>2261</v>
      </c>
      <c r="B273" s="41">
        <v>30043990</v>
      </c>
    </row>
  </sheetData>
  <pageMargins left="0.69930555555555596" right="0.69930555555555596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G4:K22"/>
  <sheetViews>
    <sheetView topLeftCell="A7" workbookViewId="0">
      <selection activeCell="F24" sqref="F24"/>
    </sheetView>
  </sheetViews>
  <sheetFormatPr defaultColWidth="9" defaultRowHeight="12.75"/>
  <cols>
    <col min="8" max="8" width="11.5703125" customWidth="1"/>
  </cols>
  <sheetData>
    <row r="4" spans="7:11">
      <c r="H4" s="39"/>
      <c r="I4" s="39"/>
    </row>
    <row r="5" spans="7:11" ht="26.25">
      <c r="G5" s="32">
        <v>1</v>
      </c>
      <c r="H5" s="40"/>
      <c r="I5" s="40"/>
      <c r="J5" s="32"/>
      <c r="K5" s="32"/>
    </row>
    <row r="6" spans="7:11" ht="26.25">
      <c r="G6" s="32">
        <v>2</v>
      </c>
      <c r="H6" s="40"/>
      <c r="I6" s="40"/>
      <c r="J6" s="32"/>
      <c r="K6" s="32"/>
    </row>
    <row r="7" spans="7:11" ht="26.25">
      <c r="G7" s="32">
        <v>3</v>
      </c>
      <c r="H7" s="40">
        <v>889</v>
      </c>
      <c r="I7" s="40"/>
      <c r="J7" s="32"/>
      <c r="K7" s="32"/>
    </row>
    <row r="8" spans="7:11" ht="26.25">
      <c r="G8" s="32">
        <v>4</v>
      </c>
      <c r="H8" s="40"/>
      <c r="I8" s="40"/>
      <c r="J8" s="32"/>
      <c r="K8" s="32"/>
    </row>
    <row r="9" spans="7:11" ht="26.25">
      <c r="G9" s="32">
        <v>5</v>
      </c>
      <c r="H9" s="40"/>
      <c r="I9" s="40"/>
      <c r="J9" s="32"/>
      <c r="K9" s="32"/>
    </row>
    <row r="10" spans="7:11" ht="26.25">
      <c r="G10" s="32">
        <v>6</v>
      </c>
      <c r="H10" s="40">
        <v>889</v>
      </c>
      <c r="I10" s="40"/>
      <c r="J10" s="32"/>
      <c r="K10" s="32"/>
    </row>
    <row r="11" spans="7:11" ht="26.25">
      <c r="G11" s="32">
        <v>7</v>
      </c>
      <c r="H11" s="40"/>
      <c r="I11" s="40"/>
      <c r="J11" s="32"/>
      <c r="K11" s="32"/>
    </row>
    <row r="12" spans="7:11" ht="26.25">
      <c r="G12" s="32">
        <v>8</v>
      </c>
      <c r="H12" s="40"/>
      <c r="I12" s="40"/>
      <c r="J12" s="32"/>
      <c r="K12" s="32"/>
    </row>
    <row r="13" spans="7:11" ht="26.25">
      <c r="G13" s="32">
        <v>9</v>
      </c>
      <c r="H13" s="40">
        <v>889</v>
      </c>
      <c r="I13" s="40"/>
      <c r="J13" s="32"/>
      <c r="K13" s="32"/>
    </row>
    <row r="14" spans="7:11" ht="26.25">
      <c r="G14" s="32">
        <v>10</v>
      </c>
      <c r="H14" s="40"/>
      <c r="I14" s="40"/>
      <c r="J14" s="32"/>
      <c r="K14" s="32"/>
    </row>
    <row r="15" spans="7:11" ht="26.25">
      <c r="G15" s="32">
        <v>11</v>
      </c>
      <c r="H15" s="40"/>
      <c r="I15" s="40"/>
      <c r="J15" s="32"/>
      <c r="K15" s="32"/>
    </row>
    <row r="16" spans="7:11" ht="25.5">
      <c r="G16" s="32">
        <v>12</v>
      </c>
      <c r="H16" s="32">
        <v>889</v>
      </c>
      <c r="I16" s="32"/>
      <c r="J16" s="32"/>
      <c r="K16" s="32"/>
    </row>
    <row r="18" spans="8:8" ht="25.5">
      <c r="H18" s="32">
        <f>SUM(H5:H16)</f>
        <v>3556</v>
      </c>
    </row>
    <row r="19" spans="8:8" ht="25.5">
      <c r="H19" s="32">
        <v>3599</v>
      </c>
    </row>
    <row r="20" spans="8:8" ht="25.5">
      <c r="H20" s="32">
        <f>H19-H18</f>
        <v>43</v>
      </c>
    </row>
    <row r="21" spans="8:8" ht="25.5">
      <c r="H21" s="32">
        <v>3999</v>
      </c>
    </row>
    <row r="22" spans="8:8">
      <c r="H22">
        <f>H21-H18</f>
        <v>443</v>
      </c>
    </row>
  </sheetData>
  <pageMargins left="0.69930555555555596" right="0.69930555555555596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C3:D37"/>
  <sheetViews>
    <sheetView workbookViewId="0"/>
  </sheetViews>
  <sheetFormatPr defaultColWidth="9" defaultRowHeight="12.75"/>
  <cols>
    <col min="3" max="3" width="45.7109375" customWidth="1"/>
    <col min="4" max="4" width="109.28515625" customWidth="1"/>
  </cols>
  <sheetData>
    <row r="3" spans="3:4" ht="26.25">
      <c r="C3" s="31"/>
      <c r="D3" s="31" t="s">
        <v>2262</v>
      </c>
    </row>
    <row r="4" spans="3:4" ht="25.5">
      <c r="C4" s="32"/>
      <c r="D4" s="32"/>
    </row>
    <row r="5" spans="3:4" ht="26.25">
      <c r="C5" s="31"/>
      <c r="D5" s="31"/>
    </row>
    <row r="6" spans="3:4" ht="26.25">
      <c r="C6" s="31" t="s">
        <v>534</v>
      </c>
      <c r="D6" s="33" t="s">
        <v>2263</v>
      </c>
    </row>
    <row r="7" spans="3:4" ht="26.25">
      <c r="C7" s="31"/>
      <c r="D7" s="31"/>
    </row>
    <row r="8" spans="3:4" ht="26.25">
      <c r="C8" s="31" t="s">
        <v>2264</v>
      </c>
      <c r="D8" s="31" t="s">
        <v>2265</v>
      </c>
    </row>
    <row r="9" spans="3:4" ht="26.25">
      <c r="C9" s="31"/>
      <c r="D9" s="31"/>
    </row>
    <row r="11" spans="3:4">
      <c r="D11" s="591" t="s">
        <v>2266</v>
      </c>
    </row>
    <row r="14" spans="3:4" ht="23.25">
      <c r="C14" s="34" t="s">
        <v>2267</v>
      </c>
      <c r="D14" s="592" t="s">
        <v>2268</v>
      </c>
    </row>
    <row r="15" spans="3:4" ht="18">
      <c r="C15" s="34" t="s">
        <v>2269</v>
      </c>
    </row>
    <row r="16" spans="3:4">
      <c r="C16" t="s">
        <v>2270</v>
      </c>
    </row>
    <row r="18" spans="3:4" ht="20.25">
      <c r="C18" s="35" t="s">
        <v>2271</v>
      </c>
      <c r="D18" s="35" t="s">
        <v>564</v>
      </c>
    </row>
    <row r="20" spans="3:4" ht="18.75">
      <c r="D20" s="36" t="s">
        <v>2272</v>
      </c>
    </row>
    <row r="22" spans="3:4" ht="15.75">
      <c r="D22" s="33" t="s">
        <v>2273</v>
      </c>
    </row>
    <row r="26" spans="3:4" ht="25.5">
      <c r="C26" s="32" t="s">
        <v>2274</v>
      </c>
    </row>
    <row r="27" spans="3:4" ht="25.5">
      <c r="C27" s="32" t="s">
        <v>2275</v>
      </c>
    </row>
    <row r="29" spans="3:4" ht="18">
      <c r="D29" s="37" t="s">
        <v>2276</v>
      </c>
    </row>
    <row r="30" spans="3:4" ht="18">
      <c r="D30" s="37" t="s">
        <v>2277</v>
      </c>
    </row>
    <row r="31" spans="3:4" ht="18">
      <c r="D31" s="37" t="s">
        <v>2278</v>
      </c>
    </row>
    <row r="37" spans="4:4" ht="27">
      <c r="D37" s="38">
        <v>6544</v>
      </c>
    </row>
  </sheetData>
  <hyperlinks>
    <hyperlink ref="D6" r:id="rId1"/>
    <hyperlink ref="D22" r:id="rId2"/>
  </hyperlinks>
  <pageMargins left="0.69930555555555596" right="0.69930555555555596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>
  <dimension ref="A1:X52"/>
  <sheetViews>
    <sheetView zoomScale="70" zoomScaleNormal="70" workbookViewId="0"/>
  </sheetViews>
  <sheetFormatPr defaultColWidth="9" defaultRowHeight="15.75"/>
  <cols>
    <col min="1" max="1" width="86" style="15" customWidth="1"/>
    <col min="2" max="2" width="10.28515625" style="15" customWidth="1"/>
    <col min="3" max="3" width="43.140625" style="15" customWidth="1"/>
    <col min="4" max="4" width="29" style="15" customWidth="1"/>
    <col min="5" max="5" width="86" style="15" customWidth="1"/>
    <col min="6" max="6" width="10.85546875" style="15" customWidth="1"/>
    <col min="7" max="7" width="41.85546875" style="15" customWidth="1"/>
    <col min="8" max="9" width="9" style="15"/>
    <col min="10" max="10" width="2.85546875" style="15" customWidth="1"/>
    <col min="11" max="11" width="36.140625" style="15" customWidth="1"/>
    <col min="12" max="12" width="9.7109375" style="15" customWidth="1"/>
    <col min="13" max="13" width="39" style="15" customWidth="1"/>
    <col min="14" max="20" width="9" style="15"/>
    <col min="21" max="21" width="3" style="15" customWidth="1"/>
    <col min="22" max="22" width="36.28515625" style="15" customWidth="1"/>
    <col min="23" max="23" width="9.7109375" style="15" customWidth="1"/>
    <col min="24" max="24" width="39.85546875" style="15" customWidth="1"/>
    <col min="25" max="16384" width="9" style="15"/>
  </cols>
  <sheetData>
    <row r="1" spans="1:24" ht="32.25">
      <c r="D1" s="21" t="s">
        <v>2279</v>
      </c>
      <c r="E1" s="22"/>
      <c r="U1" s="30">
        <v>1</v>
      </c>
      <c r="V1" s="26" t="s">
        <v>2280</v>
      </c>
      <c r="W1" s="26" t="s">
        <v>1038</v>
      </c>
      <c r="X1" s="26" t="s">
        <v>2281</v>
      </c>
    </row>
    <row r="2" spans="1:24" ht="27.75">
      <c r="A2" s="598" t="s">
        <v>2282</v>
      </c>
      <c r="B2" s="598"/>
      <c r="C2" s="598"/>
      <c r="E2" s="598" t="s">
        <v>2283</v>
      </c>
      <c r="F2" s="598"/>
      <c r="G2" s="598"/>
      <c r="U2" s="30">
        <v>2</v>
      </c>
      <c r="V2" s="26" t="s">
        <v>1907</v>
      </c>
    </row>
    <row r="3" spans="1:24" ht="27.75">
      <c r="A3" s="23" t="s">
        <v>2280</v>
      </c>
      <c r="B3" s="23" t="s">
        <v>1467</v>
      </c>
      <c r="C3" s="23" t="s">
        <v>1468</v>
      </c>
      <c r="E3" s="23" t="s">
        <v>2280</v>
      </c>
      <c r="F3" s="23" t="s">
        <v>1643</v>
      </c>
      <c r="G3" s="23" t="s">
        <v>2284</v>
      </c>
      <c r="U3" s="30">
        <v>3</v>
      </c>
      <c r="V3" s="26" t="s">
        <v>1445</v>
      </c>
    </row>
    <row r="4" spans="1:24" ht="27.75">
      <c r="A4" s="23" t="s">
        <v>1907</v>
      </c>
      <c r="B4" s="23" t="s">
        <v>1043</v>
      </c>
      <c r="C4" s="23" t="s">
        <v>1469</v>
      </c>
      <c r="E4" s="24" t="s">
        <v>2285</v>
      </c>
      <c r="F4" s="25"/>
      <c r="G4" s="25"/>
      <c r="U4" s="30">
        <v>4</v>
      </c>
      <c r="V4" s="26" t="s">
        <v>2286</v>
      </c>
    </row>
    <row r="5" spans="1:24" ht="27.75">
      <c r="A5" s="23" t="s">
        <v>1445</v>
      </c>
      <c r="B5" s="23" t="s">
        <v>1071</v>
      </c>
      <c r="C5" s="23" t="s">
        <v>1468</v>
      </c>
      <c r="E5" s="23" t="s">
        <v>1907</v>
      </c>
      <c r="F5" s="23" t="s">
        <v>2287</v>
      </c>
      <c r="G5" s="23" t="s">
        <v>2288</v>
      </c>
      <c r="U5" s="30">
        <v>5</v>
      </c>
      <c r="V5" s="26" t="s">
        <v>1451</v>
      </c>
      <c r="X5" s="26" t="s">
        <v>1471</v>
      </c>
    </row>
    <row r="6" spans="1:24" ht="27.75">
      <c r="A6" s="23" t="s">
        <v>2286</v>
      </c>
      <c r="B6" s="23" t="s">
        <v>699</v>
      </c>
      <c r="C6" s="23" t="s">
        <v>1470</v>
      </c>
      <c r="E6" s="23" t="s">
        <v>1445</v>
      </c>
      <c r="F6" s="23" t="s">
        <v>1071</v>
      </c>
      <c r="G6" s="25"/>
    </row>
    <row r="7" spans="1:24" ht="27.75">
      <c r="A7" s="23" t="s">
        <v>1451</v>
      </c>
      <c r="B7" s="23" t="s">
        <v>1053</v>
      </c>
      <c r="C7" s="23" t="s">
        <v>1471</v>
      </c>
      <c r="E7" s="23" t="s">
        <v>2286</v>
      </c>
      <c r="F7" s="23" t="s">
        <v>699</v>
      </c>
      <c r="G7" s="25"/>
    </row>
    <row r="8" spans="1:24" ht="27.75">
      <c r="E8" s="23" t="s">
        <v>1451</v>
      </c>
      <c r="F8" s="23" t="s">
        <v>1053</v>
      </c>
      <c r="G8" s="25"/>
    </row>
    <row r="9" spans="1:24" ht="27.75">
      <c r="E9" s="26"/>
      <c r="F9" s="26"/>
    </row>
    <row r="10" spans="1:24" ht="27.75">
      <c r="E10" s="26"/>
      <c r="F10" s="26"/>
    </row>
    <row r="12" spans="1:24" ht="27.75">
      <c r="A12" s="598" t="s">
        <v>2289</v>
      </c>
      <c r="B12" s="598"/>
      <c r="C12" s="598"/>
      <c r="E12" s="598" t="s">
        <v>2290</v>
      </c>
      <c r="F12" s="598"/>
      <c r="G12" s="598"/>
    </row>
    <row r="13" spans="1:24" ht="27.75">
      <c r="A13" s="23" t="s">
        <v>2280</v>
      </c>
      <c r="B13" s="23" t="s">
        <v>1664</v>
      </c>
      <c r="C13" s="23" t="s">
        <v>1665</v>
      </c>
      <c r="E13" s="23" t="s">
        <v>2280</v>
      </c>
      <c r="F13" s="23" t="s">
        <v>2291</v>
      </c>
      <c r="G13" s="23" t="s">
        <v>2292</v>
      </c>
    </row>
    <row r="14" spans="1:24" ht="27.75">
      <c r="A14" s="23" t="s">
        <v>1907</v>
      </c>
      <c r="B14" s="23" t="s">
        <v>1043</v>
      </c>
      <c r="C14" s="23" t="s">
        <v>1469</v>
      </c>
      <c r="E14" s="23" t="s">
        <v>1907</v>
      </c>
      <c r="F14" s="23" t="s">
        <v>1043</v>
      </c>
      <c r="G14" s="23" t="s">
        <v>1469</v>
      </c>
    </row>
    <row r="15" spans="1:24" ht="27.75">
      <c r="A15" s="23" t="s">
        <v>1445</v>
      </c>
      <c r="B15" s="23" t="s">
        <v>2293</v>
      </c>
      <c r="C15" s="23" t="s">
        <v>2294</v>
      </c>
      <c r="E15" s="23" t="s">
        <v>1445</v>
      </c>
      <c r="F15" s="23" t="s">
        <v>1446</v>
      </c>
      <c r="G15" s="23" t="s">
        <v>2295</v>
      </c>
    </row>
    <row r="16" spans="1:24" ht="27.75">
      <c r="A16" s="23" t="s">
        <v>2286</v>
      </c>
      <c r="B16" s="23" t="s">
        <v>699</v>
      </c>
      <c r="C16" s="23" t="s">
        <v>1470</v>
      </c>
      <c r="E16" s="23" t="s">
        <v>2286</v>
      </c>
      <c r="F16" s="23" t="s">
        <v>699</v>
      </c>
      <c r="G16" s="23" t="s">
        <v>1470</v>
      </c>
    </row>
    <row r="17" spans="1:7" ht="27.75">
      <c r="A17" s="23" t="s">
        <v>1451</v>
      </c>
      <c r="B17" s="23" t="s">
        <v>1053</v>
      </c>
      <c r="C17" s="23" t="s">
        <v>1471</v>
      </c>
      <c r="E17" s="23" t="s">
        <v>1451</v>
      </c>
      <c r="F17" s="23" t="s">
        <v>1053</v>
      </c>
      <c r="G17" s="23" t="s">
        <v>1471</v>
      </c>
    </row>
    <row r="18" spans="1:7" ht="27.75">
      <c r="E18" s="24" t="s">
        <v>2296</v>
      </c>
      <c r="F18" s="27"/>
      <c r="G18" s="25"/>
    </row>
    <row r="21" spans="1:7" ht="27.75">
      <c r="A21" s="598" t="s">
        <v>2297</v>
      </c>
      <c r="B21" s="598"/>
      <c r="C21" s="598"/>
      <c r="E21" s="598" t="s">
        <v>2298</v>
      </c>
      <c r="F21" s="598"/>
      <c r="G21" s="598"/>
    </row>
    <row r="22" spans="1:7" ht="27.75">
      <c r="A22" s="23" t="s">
        <v>2280</v>
      </c>
      <c r="B22" s="23" t="s">
        <v>1442</v>
      </c>
      <c r="C22" s="23" t="s">
        <v>2299</v>
      </c>
      <c r="E22" s="23" t="s">
        <v>2280</v>
      </c>
      <c r="F22" s="23" t="s">
        <v>1038</v>
      </c>
      <c r="G22" s="23" t="s">
        <v>2300</v>
      </c>
    </row>
    <row r="23" spans="1:7" ht="27.75">
      <c r="A23" s="23" t="s">
        <v>1907</v>
      </c>
      <c r="B23" s="23" t="s">
        <v>1043</v>
      </c>
      <c r="C23" s="23" t="s">
        <v>1469</v>
      </c>
      <c r="E23" s="23" t="s">
        <v>1907</v>
      </c>
      <c r="F23" s="23" t="s">
        <v>1043</v>
      </c>
      <c r="G23" s="23" t="s">
        <v>1469</v>
      </c>
    </row>
    <row r="24" spans="1:7" ht="27.75">
      <c r="A24" s="23" t="s">
        <v>1445</v>
      </c>
      <c r="B24" s="23" t="s">
        <v>1446</v>
      </c>
      <c r="C24" s="23" t="s">
        <v>2295</v>
      </c>
      <c r="E24" s="23" t="s">
        <v>1445</v>
      </c>
      <c r="F24" s="23" t="s">
        <v>712</v>
      </c>
      <c r="G24" s="23" t="s">
        <v>2301</v>
      </c>
    </row>
    <row r="25" spans="1:7" ht="27.75">
      <c r="A25" s="23" t="s">
        <v>2286</v>
      </c>
      <c r="B25" s="23" t="s">
        <v>699</v>
      </c>
      <c r="C25" s="23" t="s">
        <v>1470</v>
      </c>
      <c r="E25" s="23" t="s">
        <v>2286</v>
      </c>
      <c r="F25" s="23" t="s">
        <v>699</v>
      </c>
      <c r="G25" s="23" t="s">
        <v>1470</v>
      </c>
    </row>
    <row r="26" spans="1:7" ht="27.75">
      <c r="A26" s="23" t="s">
        <v>1451</v>
      </c>
      <c r="B26" s="23" t="s">
        <v>1053</v>
      </c>
      <c r="C26" s="23" t="s">
        <v>1471</v>
      </c>
      <c r="E26" s="23" t="s">
        <v>1451</v>
      </c>
      <c r="F26" s="23" t="s">
        <v>1053</v>
      </c>
      <c r="G26" s="23" t="s">
        <v>1471</v>
      </c>
    </row>
    <row r="30" spans="1:7" ht="27.75">
      <c r="A30" s="598" t="s">
        <v>2302</v>
      </c>
      <c r="B30" s="598"/>
      <c r="C30" s="598"/>
      <c r="E30" s="28" t="s">
        <v>2303</v>
      </c>
    </row>
    <row r="31" spans="1:7" ht="27.75">
      <c r="A31" s="23" t="s">
        <v>2280</v>
      </c>
      <c r="B31" s="23" t="s">
        <v>1038</v>
      </c>
      <c r="C31" s="23" t="s">
        <v>2300</v>
      </c>
    </row>
    <row r="32" spans="1:7" ht="27.75">
      <c r="A32" s="23" t="s">
        <v>1907</v>
      </c>
      <c r="B32" s="23" t="s">
        <v>1043</v>
      </c>
      <c r="C32" s="23" t="s">
        <v>1469</v>
      </c>
    </row>
    <row r="33" spans="1:3" ht="27.75">
      <c r="A33" s="23" t="s">
        <v>1445</v>
      </c>
      <c r="B33" s="23" t="s">
        <v>712</v>
      </c>
      <c r="C33" s="23" t="s">
        <v>2301</v>
      </c>
    </row>
    <row r="34" spans="1:3" ht="27.75">
      <c r="A34" s="23" t="s">
        <v>2286</v>
      </c>
      <c r="B34" s="23">
        <v>99</v>
      </c>
      <c r="C34" s="23" t="s">
        <v>2304</v>
      </c>
    </row>
    <row r="35" spans="1:3" ht="27.75">
      <c r="A35" s="23" t="s">
        <v>1451</v>
      </c>
      <c r="B35" s="23" t="s">
        <v>1053</v>
      </c>
      <c r="C35" s="23" t="s">
        <v>1471</v>
      </c>
    </row>
    <row r="36" spans="1:3" ht="27.75">
      <c r="A36" s="23" t="s">
        <v>2305</v>
      </c>
      <c r="B36" s="23"/>
      <c r="C36" s="23" t="s">
        <v>2306</v>
      </c>
    </row>
    <row r="37" spans="1:3" ht="27.75">
      <c r="A37" s="23" t="s">
        <v>2307</v>
      </c>
      <c r="B37" s="23"/>
      <c r="C37" s="23" t="s">
        <v>2308</v>
      </c>
    </row>
    <row r="38" spans="1:3" ht="27.75">
      <c r="A38" s="29"/>
      <c r="B38" s="29"/>
      <c r="C38" s="29"/>
    </row>
    <row r="39" spans="1:3" ht="27.75">
      <c r="A39" s="598" t="s">
        <v>2309</v>
      </c>
      <c r="B39" s="598"/>
      <c r="C39" s="598"/>
    </row>
    <row r="40" spans="1:3" ht="27.75">
      <c r="A40" s="23" t="s">
        <v>2280</v>
      </c>
      <c r="B40" s="23" t="s">
        <v>1689</v>
      </c>
      <c r="C40" s="23" t="s">
        <v>2310</v>
      </c>
    </row>
    <row r="41" spans="1:3" ht="27.75">
      <c r="A41" s="23" t="s">
        <v>2311</v>
      </c>
      <c r="B41" s="23"/>
      <c r="C41" s="23"/>
    </row>
    <row r="42" spans="1:3" ht="27.75">
      <c r="A42" s="23" t="s">
        <v>1445</v>
      </c>
      <c r="B42" s="23" t="s">
        <v>1446</v>
      </c>
      <c r="C42" s="23" t="s">
        <v>2295</v>
      </c>
    </row>
    <row r="43" spans="1:3" ht="27.75">
      <c r="A43" s="23" t="s">
        <v>2286</v>
      </c>
      <c r="B43" s="23" t="s">
        <v>699</v>
      </c>
      <c r="C43" s="23" t="s">
        <v>1061</v>
      </c>
    </row>
    <row r="44" spans="1:3" ht="27.75">
      <c r="A44" s="23" t="s">
        <v>1451</v>
      </c>
      <c r="B44" s="23" t="s">
        <v>1053</v>
      </c>
      <c r="C44" s="23" t="s">
        <v>1471</v>
      </c>
    </row>
    <row r="45" spans="1:3" ht="27.75">
      <c r="A45" s="23" t="s">
        <v>2312</v>
      </c>
      <c r="B45" s="23"/>
      <c r="C45" s="23"/>
    </row>
    <row r="47" spans="1:3" ht="27.75">
      <c r="A47" s="598" t="s">
        <v>2313</v>
      </c>
      <c r="B47" s="598"/>
      <c r="C47" s="598"/>
    </row>
    <row r="48" spans="1:3" ht="27.75">
      <c r="A48" s="23" t="s">
        <v>2280</v>
      </c>
      <c r="B48" s="23" t="s">
        <v>1473</v>
      </c>
      <c r="C48" s="23" t="s">
        <v>2314</v>
      </c>
    </row>
    <row r="49" spans="1:3" ht="27.75">
      <c r="A49" s="23" t="s">
        <v>1907</v>
      </c>
      <c r="B49" s="23" t="s">
        <v>1043</v>
      </c>
      <c r="C49" s="23" t="s">
        <v>1469</v>
      </c>
    </row>
    <row r="50" spans="1:3" ht="27.75">
      <c r="A50" s="23" t="s">
        <v>1445</v>
      </c>
      <c r="B50" s="23" t="s">
        <v>1446</v>
      </c>
      <c r="C50" s="23" t="s">
        <v>2295</v>
      </c>
    </row>
    <row r="51" spans="1:3" ht="27.75">
      <c r="A51" s="23" t="s">
        <v>2286</v>
      </c>
      <c r="B51" s="23" t="s">
        <v>699</v>
      </c>
      <c r="C51" s="23" t="s">
        <v>1470</v>
      </c>
    </row>
    <row r="52" spans="1:3" ht="27.75">
      <c r="A52" s="23" t="s">
        <v>1451</v>
      </c>
      <c r="B52" s="23" t="s">
        <v>1053</v>
      </c>
      <c r="C52" s="23" t="s">
        <v>1471</v>
      </c>
    </row>
  </sheetData>
  <mergeCells count="9">
    <mergeCell ref="A30:C30"/>
    <mergeCell ref="A39:C39"/>
    <mergeCell ref="A47:C47"/>
    <mergeCell ref="A2:C2"/>
    <mergeCell ref="E2:G2"/>
    <mergeCell ref="A12:C12"/>
    <mergeCell ref="E12:G12"/>
    <mergeCell ref="A21:C21"/>
    <mergeCell ref="E21:G21"/>
  </mergeCells>
  <pageMargins left="0.69930555555555596" right="0.69930555555555596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111"/>
  <sheetViews>
    <sheetView zoomScale="70" zoomScaleNormal="70" workbookViewId="0">
      <selection activeCell="J6" sqref="J6"/>
    </sheetView>
  </sheetViews>
  <sheetFormatPr defaultColWidth="9" defaultRowHeight="15.75"/>
  <cols>
    <col min="1" max="1" width="7.28515625" style="15" customWidth="1"/>
    <col min="2" max="2" width="38.5703125" style="15" customWidth="1"/>
    <col min="3" max="3" width="11.5703125" style="15" customWidth="1"/>
    <col min="4" max="9" width="9" style="15"/>
    <col min="10" max="10" width="36.7109375" style="15" customWidth="1"/>
    <col min="11" max="16384" width="9" style="15"/>
  </cols>
  <sheetData>
    <row r="1" spans="1:10" ht="30">
      <c r="A1" s="16" t="s">
        <v>112</v>
      </c>
      <c r="B1" s="16" t="s">
        <v>2315</v>
      </c>
      <c r="J1" s="18" t="s">
        <v>1061</v>
      </c>
    </row>
    <row r="2" spans="1:10" ht="30">
      <c r="A2" s="16">
        <v>1</v>
      </c>
      <c r="B2" s="17">
        <v>4500000043</v>
      </c>
      <c r="J2" s="18" t="s">
        <v>1061</v>
      </c>
    </row>
    <row r="3" spans="1:10" ht="30">
      <c r="A3" s="16">
        <v>2</v>
      </c>
      <c r="B3" s="17">
        <v>4500000048</v>
      </c>
      <c r="J3" s="18" t="s">
        <v>1061</v>
      </c>
    </row>
    <row r="4" spans="1:10" ht="30">
      <c r="A4" s="16">
        <v>3</v>
      </c>
      <c r="B4" s="17">
        <v>4500000051</v>
      </c>
      <c r="J4" s="18" t="s">
        <v>1061</v>
      </c>
    </row>
    <row r="5" spans="1:10" ht="30">
      <c r="A5" s="16">
        <v>4</v>
      </c>
      <c r="B5" s="17">
        <v>4500000055</v>
      </c>
      <c r="J5" s="18" t="s">
        <v>1061</v>
      </c>
    </row>
    <row r="6" spans="1:10" ht="30">
      <c r="A6" s="16">
        <v>5</v>
      </c>
      <c r="B6" s="17">
        <v>4000008588</v>
      </c>
      <c r="J6" s="18" t="s">
        <v>1061</v>
      </c>
    </row>
    <row r="7" spans="1:10" ht="30">
      <c r="A7" s="16">
        <v>6</v>
      </c>
      <c r="B7" s="17">
        <v>4000008587</v>
      </c>
      <c r="J7" s="18" t="s">
        <v>1061</v>
      </c>
    </row>
    <row r="8" spans="1:10" ht="30">
      <c r="A8" s="16">
        <v>7</v>
      </c>
      <c r="B8" s="17">
        <v>4000008759</v>
      </c>
      <c r="J8" s="18" t="s">
        <v>1061</v>
      </c>
    </row>
    <row r="9" spans="1:10" ht="30">
      <c r="A9" s="16">
        <v>8</v>
      </c>
      <c r="B9" s="17">
        <v>4000008837</v>
      </c>
      <c r="J9" s="18" t="s">
        <v>1061</v>
      </c>
    </row>
    <row r="10" spans="1:10" ht="30">
      <c r="A10" s="16">
        <v>9</v>
      </c>
      <c r="B10" s="17">
        <v>4000008888</v>
      </c>
      <c r="J10" s="18" t="s">
        <v>1065</v>
      </c>
    </row>
    <row r="11" spans="1:10" ht="30">
      <c r="A11" s="16">
        <v>10</v>
      </c>
      <c r="B11" s="17">
        <v>4000009071</v>
      </c>
      <c r="J11" s="18" t="s">
        <v>1061</v>
      </c>
    </row>
    <row r="12" spans="1:10" ht="30">
      <c r="A12" s="16">
        <v>11</v>
      </c>
      <c r="B12" s="17">
        <v>4000009549</v>
      </c>
      <c r="J12" s="18" t="s">
        <v>1061</v>
      </c>
    </row>
    <row r="13" spans="1:10" ht="30">
      <c r="A13" s="16">
        <v>12</v>
      </c>
      <c r="B13" s="17">
        <v>4000010196</v>
      </c>
      <c r="J13" s="18" t="s">
        <v>1061</v>
      </c>
    </row>
    <row r="14" spans="1:10" ht="30">
      <c r="A14" s="16">
        <v>13</v>
      </c>
      <c r="B14" s="17">
        <v>4000010312</v>
      </c>
      <c r="J14" s="18" t="s">
        <v>1061</v>
      </c>
    </row>
    <row r="15" spans="1:10" ht="30">
      <c r="A15" s="16">
        <v>14</v>
      </c>
      <c r="B15" s="17">
        <v>4000010653</v>
      </c>
      <c r="J15" s="18" t="s">
        <v>1061</v>
      </c>
    </row>
    <row r="16" spans="1:10" ht="30">
      <c r="A16" s="16">
        <v>15</v>
      </c>
      <c r="B16" s="17">
        <v>4500000060</v>
      </c>
      <c r="J16" s="18" t="s">
        <v>1061</v>
      </c>
    </row>
    <row r="17" spans="10:10" ht="20.25">
      <c r="J17" s="18" t="s">
        <v>1061</v>
      </c>
    </row>
    <row r="18" spans="10:10" ht="20.25">
      <c r="J18" s="18" t="s">
        <v>1061</v>
      </c>
    </row>
    <row r="19" spans="10:10" ht="20.25">
      <c r="J19" s="18" t="s">
        <v>1073</v>
      </c>
    </row>
    <row r="20" spans="10:10" ht="20.25">
      <c r="J20" s="18" t="s">
        <v>1074</v>
      </c>
    </row>
    <row r="21" spans="10:10" ht="20.25">
      <c r="J21" s="18" t="s">
        <v>1061</v>
      </c>
    </row>
    <row r="22" spans="10:10" ht="20.25">
      <c r="J22" s="18" t="s">
        <v>1061</v>
      </c>
    </row>
    <row r="23" spans="10:10" ht="20.25">
      <c r="J23" s="18" t="s">
        <v>1061</v>
      </c>
    </row>
    <row r="24" spans="10:10" ht="20.25">
      <c r="J24" s="18" t="s">
        <v>1061</v>
      </c>
    </row>
    <row r="25" spans="10:10" ht="20.25">
      <c r="J25" s="18" t="s">
        <v>1061</v>
      </c>
    </row>
    <row r="26" spans="10:10" ht="20.25">
      <c r="J26" s="18" t="s">
        <v>1061</v>
      </c>
    </row>
    <row r="27" spans="10:10" ht="20.25">
      <c r="J27" s="18" t="s">
        <v>1061</v>
      </c>
    </row>
    <row r="28" spans="10:10" ht="20.25">
      <c r="J28" s="19" t="s">
        <v>1079</v>
      </c>
    </row>
    <row r="29" spans="10:10" ht="20.25">
      <c r="J29" s="18" t="s">
        <v>1061</v>
      </c>
    </row>
    <row r="30" spans="10:10" ht="20.25">
      <c r="J30" s="18" t="s">
        <v>1061</v>
      </c>
    </row>
    <row r="31" spans="10:10" ht="20.25">
      <c r="J31" s="18" t="s">
        <v>1061</v>
      </c>
    </row>
    <row r="32" spans="10:10" ht="20.25">
      <c r="J32" s="18" t="s">
        <v>1073</v>
      </c>
    </row>
    <row r="33" spans="10:10" ht="20.25">
      <c r="J33" s="18" t="s">
        <v>1061</v>
      </c>
    </row>
    <row r="34" spans="10:10" ht="20.25">
      <c r="J34" s="18" t="s">
        <v>1061</v>
      </c>
    </row>
    <row r="35" spans="10:10" ht="20.25">
      <c r="J35" s="18" t="s">
        <v>1061</v>
      </c>
    </row>
    <row r="36" spans="10:10" ht="20.25">
      <c r="J36" s="18" t="s">
        <v>1061</v>
      </c>
    </row>
    <row r="37" spans="10:10" ht="20.25">
      <c r="J37" s="18" t="s">
        <v>1061</v>
      </c>
    </row>
    <row r="38" spans="10:10" ht="20.25">
      <c r="J38" s="18" t="s">
        <v>1061</v>
      </c>
    </row>
    <row r="39" spans="10:10" ht="20.25">
      <c r="J39" s="18" t="s">
        <v>1061</v>
      </c>
    </row>
    <row r="40" spans="10:10" ht="20.25">
      <c r="J40" s="18" t="s">
        <v>1061</v>
      </c>
    </row>
    <row r="41" spans="10:10" ht="20.25">
      <c r="J41" s="18" t="s">
        <v>1073</v>
      </c>
    </row>
    <row r="42" spans="10:10" ht="20.25">
      <c r="J42" s="18" t="s">
        <v>1073</v>
      </c>
    </row>
    <row r="43" spans="10:10" ht="20.25">
      <c r="J43" s="18" t="s">
        <v>1061</v>
      </c>
    </row>
    <row r="44" spans="10:10" ht="20.25">
      <c r="J44" s="18" t="s">
        <v>1061</v>
      </c>
    </row>
    <row r="45" spans="10:10" ht="20.25">
      <c r="J45" s="18" t="s">
        <v>1061</v>
      </c>
    </row>
    <row r="46" spans="10:10" ht="20.25">
      <c r="J46" s="18" t="s">
        <v>1061</v>
      </c>
    </row>
    <row r="47" spans="10:10" ht="20.25">
      <c r="J47" s="18" t="s">
        <v>1061</v>
      </c>
    </row>
    <row r="48" spans="10:10" ht="20.25">
      <c r="J48" s="18" t="s">
        <v>1061</v>
      </c>
    </row>
    <row r="49" spans="10:10" ht="20.25">
      <c r="J49" s="18" t="s">
        <v>1061</v>
      </c>
    </row>
    <row r="50" spans="10:10" ht="20.25">
      <c r="J50" s="18" t="s">
        <v>1090</v>
      </c>
    </row>
    <row r="51" spans="10:10" ht="20.25">
      <c r="J51" s="18" t="s">
        <v>1061</v>
      </c>
    </row>
    <row r="52" spans="10:10" ht="20.25">
      <c r="J52" s="18" t="s">
        <v>1061</v>
      </c>
    </row>
    <row r="53" spans="10:10" ht="20.25">
      <c r="J53" s="18" t="s">
        <v>1073</v>
      </c>
    </row>
    <row r="54" spans="10:10" ht="20.25">
      <c r="J54" s="18" t="s">
        <v>1061</v>
      </c>
    </row>
    <row r="55" spans="10:10" ht="20.25">
      <c r="J55" s="18" t="s">
        <v>1061</v>
      </c>
    </row>
    <row r="56" spans="10:10" ht="20.25">
      <c r="J56" s="18" t="s">
        <v>1061</v>
      </c>
    </row>
    <row r="57" spans="10:10" ht="20.25">
      <c r="J57" s="18" t="s">
        <v>1061</v>
      </c>
    </row>
    <row r="58" spans="10:10" ht="20.25">
      <c r="J58" s="18" t="s">
        <v>1073</v>
      </c>
    </row>
    <row r="59" spans="10:10" ht="20.25">
      <c r="J59" s="18" t="s">
        <v>1073</v>
      </c>
    </row>
    <row r="60" spans="10:10" ht="20.25">
      <c r="J60" s="18" t="s">
        <v>1061</v>
      </c>
    </row>
    <row r="61" spans="10:10" ht="20.25">
      <c r="J61" s="18" t="s">
        <v>1061</v>
      </c>
    </row>
    <row r="62" spans="10:10" ht="20.25">
      <c r="J62" s="18" t="s">
        <v>1061</v>
      </c>
    </row>
    <row r="63" spans="10:10" ht="20.25">
      <c r="J63" s="18" t="s">
        <v>1061</v>
      </c>
    </row>
    <row r="64" spans="10:10" ht="20.25">
      <c r="J64" s="18" t="s">
        <v>1061</v>
      </c>
    </row>
    <row r="65" spans="10:10" ht="20.25">
      <c r="J65" s="18" t="s">
        <v>1061</v>
      </c>
    </row>
    <row r="66" spans="10:10" ht="20.25">
      <c r="J66" s="18" t="s">
        <v>1061</v>
      </c>
    </row>
    <row r="67" spans="10:10" ht="20.25">
      <c r="J67" s="20" t="s">
        <v>1074</v>
      </c>
    </row>
    <row r="68" spans="10:10" ht="20.25">
      <c r="J68" s="18" t="s">
        <v>1061</v>
      </c>
    </row>
    <row r="69" spans="10:10" ht="20.25">
      <c r="J69" s="18" t="s">
        <v>1061</v>
      </c>
    </row>
    <row r="70" spans="10:10" ht="20.25">
      <c r="J70" s="18" t="s">
        <v>1061</v>
      </c>
    </row>
    <row r="71" spans="10:10" ht="20.25">
      <c r="J71" s="18" t="s">
        <v>1061</v>
      </c>
    </row>
    <row r="72" spans="10:10" ht="20.25">
      <c r="J72" s="18" t="s">
        <v>1061</v>
      </c>
    </row>
    <row r="73" spans="10:10" ht="20.25">
      <c r="J73" s="18" t="s">
        <v>1061</v>
      </c>
    </row>
    <row r="74" spans="10:10" ht="20.25">
      <c r="J74" s="18" t="s">
        <v>1061</v>
      </c>
    </row>
    <row r="75" spans="10:10" ht="20.25">
      <c r="J75" s="18" t="s">
        <v>1061</v>
      </c>
    </row>
    <row r="76" spans="10:10" ht="20.25">
      <c r="J76" s="18" t="s">
        <v>1061</v>
      </c>
    </row>
    <row r="77" spans="10:10" ht="20.25">
      <c r="J77" s="18" t="s">
        <v>1061</v>
      </c>
    </row>
    <row r="78" spans="10:10" ht="20.25">
      <c r="J78" s="18" t="s">
        <v>1061</v>
      </c>
    </row>
    <row r="79" spans="10:10" ht="20.25">
      <c r="J79" s="18" t="s">
        <v>1061</v>
      </c>
    </row>
    <row r="80" spans="10:10" ht="20.25">
      <c r="J80" s="18" t="s">
        <v>1061</v>
      </c>
    </row>
    <row r="81" spans="10:10" ht="20.25">
      <c r="J81" s="18" t="s">
        <v>1061</v>
      </c>
    </row>
    <row r="82" spans="10:10" ht="20.25">
      <c r="J82" s="18" t="s">
        <v>1061</v>
      </c>
    </row>
    <row r="83" spans="10:10" ht="20.25">
      <c r="J83" s="18" t="s">
        <v>1074</v>
      </c>
    </row>
    <row r="84" spans="10:10" ht="20.25">
      <c r="J84" s="18" t="s">
        <v>1061</v>
      </c>
    </row>
    <row r="85" spans="10:10" ht="20.25">
      <c r="J85" s="18" t="s">
        <v>1061</v>
      </c>
    </row>
    <row r="86" spans="10:10" ht="20.25">
      <c r="J86" s="18" t="s">
        <v>1061</v>
      </c>
    </row>
    <row r="87" spans="10:10" ht="20.25">
      <c r="J87" s="18" t="s">
        <v>1061</v>
      </c>
    </row>
    <row r="88" spans="10:10" ht="20.25">
      <c r="J88" s="18" t="s">
        <v>1061</v>
      </c>
    </row>
    <row r="89" spans="10:10" ht="20.25">
      <c r="J89" s="18" t="s">
        <v>1061</v>
      </c>
    </row>
    <row r="90" spans="10:10" ht="20.25">
      <c r="J90" s="18" t="s">
        <v>1061</v>
      </c>
    </row>
    <row r="91" spans="10:10" ht="20.25">
      <c r="J91" s="18" t="s">
        <v>1061</v>
      </c>
    </row>
    <row r="92" spans="10:10" ht="20.25">
      <c r="J92" s="18" t="s">
        <v>1074</v>
      </c>
    </row>
    <row r="93" spans="10:10" ht="20.25">
      <c r="J93" s="18" t="s">
        <v>1061</v>
      </c>
    </row>
    <row r="94" spans="10:10" ht="20.25">
      <c r="J94" s="18" t="s">
        <v>1061</v>
      </c>
    </row>
    <row r="95" spans="10:10" ht="20.25">
      <c r="J95" s="18" t="s">
        <v>1073</v>
      </c>
    </row>
    <row r="96" spans="10:10" ht="20.25">
      <c r="J96" s="18" t="s">
        <v>1061</v>
      </c>
    </row>
    <row r="97" spans="10:10" ht="20.25">
      <c r="J97" s="18" t="s">
        <v>1061</v>
      </c>
    </row>
    <row r="98" spans="10:10" ht="20.25">
      <c r="J98" s="18" t="s">
        <v>1061</v>
      </c>
    </row>
    <row r="99" spans="10:10" ht="20.25">
      <c r="J99" s="18" t="s">
        <v>1061</v>
      </c>
    </row>
    <row r="100" spans="10:10" ht="20.25">
      <c r="J100" s="18" t="s">
        <v>1061</v>
      </c>
    </row>
    <row r="101" spans="10:10" ht="20.25">
      <c r="J101" s="18" t="s">
        <v>1073</v>
      </c>
    </row>
    <row r="102" spans="10:10" ht="20.25">
      <c r="J102" s="18" t="s">
        <v>1074</v>
      </c>
    </row>
    <row r="103" spans="10:10" ht="20.25">
      <c r="J103" s="18" t="s">
        <v>1061</v>
      </c>
    </row>
    <row r="104" spans="10:10" ht="20.25">
      <c r="J104" s="18" t="s">
        <v>1073</v>
      </c>
    </row>
    <row r="105" spans="10:10" ht="20.25">
      <c r="J105" s="18" t="s">
        <v>1074</v>
      </c>
    </row>
    <row r="106" spans="10:10" ht="20.25">
      <c r="J106" s="18" t="s">
        <v>1074</v>
      </c>
    </row>
    <row r="107" spans="10:10" ht="20.25">
      <c r="J107" s="18" t="s">
        <v>1061</v>
      </c>
    </row>
    <row r="108" spans="10:10" ht="20.25">
      <c r="J108" s="18" t="s">
        <v>1074</v>
      </c>
    </row>
    <row r="109" spans="10:10" ht="20.25">
      <c r="J109" s="18" t="s">
        <v>1061</v>
      </c>
    </row>
    <row r="110" spans="10:10" ht="20.25">
      <c r="J110" s="18" t="s">
        <v>1061</v>
      </c>
    </row>
    <row r="111" spans="10:10" ht="20.25">
      <c r="J111" s="18" t="s">
        <v>1061</v>
      </c>
    </row>
  </sheetData>
  <pageMargins left="0.69930555555555596" right="0.69930555555555596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72"/>
  <sheetViews>
    <sheetView workbookViewId="0"/>
  </sheetViews>
  <sheetFormatPr defaultColWidth="9" defaultRowHeight="12.75"/>
  <cols>
    <col min="1" max="1" width="128.140625" customWidth="1"/>
  </cols>
  <sheetData>
    <row r="1" spans="1:1">
      <c r="A1" s="7" t="s">
        <v>703</v>
      </c>
    </row>
    <row r="2" spans="1:1" ht="20.25">
      <c r="A2" s="8" t="s">
        <v>2316</v>
      </c>
    </row>
    <row r="3" spans="1:1" ht="15">
      <c r="A3" s="9" t="s">
        <v>2317</v>
      </c>
    </row>
    <row r="4" spans="1:1">
      <c r="A4" s="7"/>
    </row>
    <row r="5" spans="1:1" ht="15">
      <c r="A5" s="9" t="s">
        <v>2318</v>
      </c>
    </row>
    <row r="6" spans="1:1">
      <c r="A6" s="7"/>
    </row>
    <row r="7" spans="1:1" ht="20.25">
      <c r="A7" s="8" t="s">
        <v>2319</v>
      </c>
    </row>
    <row r="8" spans="1:1" ht="15">
      <c r="A8" s="9" t="s">
        <v>2320</v>
      </c>
    </row>
    <row r="9" spans="1:1">
      <c r="A9" s="7"/>
    </row>
    <row r="10" spans="1:1" ht="15">
      <c r="A10" s="9" t="s">
        <v>2321</v>
      </c>
    </row>
    <row r="11" spans="1:1">
      <c r="A11" s="10"/>
    </row>
    <row r="12" spans="1:1" ht="15.75">
      <c r="A12" s="9" t="s">
        <v>2322</v>
      </c>
    </row>
    <row r="13" spans="1:1">
      <c r="A13" s="10"/>
    </row>
    <row r="14" spans="1:1" ht="15">
      <c r="A14" s="9" t="s">
        <v>2323</v>
      </c>
    </row>
    <row r="15" spans="1:1">
      <c r="A15" s="10"/>
    </row>
    <row r="16" spans="1:1" ht="15">
      <c r="A16" s="9" t="s">
        <v>2324</v>
      </c>
    </row>
    <row r="17" spans="1:1">
      <c r="A17" s="10"/>
    </row>
    <row r="18" spans="1:1" ht="15">
      <c r="A18" s="9" t="s">
        <v>2325</v>
      </c>
    </row>
    <row r="19" spans="1:1">
      <c r="A19" s="10"/>
    </row>
    <row r="20" spans="1:1" ht="15">
      <c r="A20" s="9" t="s">
        <v>2326</v>
      </c>
    </row>
    <row r="21" spans="1:1" ht="15">
      <c r="A21" s="9"/>
    </row>
    <row r="22" spans="1:1" ht="20.25">
      <c r="A22" s="8" t="s">
        <v>2327</v>
      </c>
    </row>
    <row r="23" spans="1:1">
      <c r="A23" s="10"/>
    </row>
    <row r="24" spans="1:1" ht="20.25">
      <c r="A24" s="9" t="s">
        <v>2328</v>
      </c>
    </row>
    <row r="25" spans="1:1" ht="20.25">
      <c r="A25" s="9" t="s">
        <v>2329</v>
      </c>
    </row>
    <row r="26" spans="1:1" ht="20.25">
      <c r="A26" s="8" t="s">
        <v>2330</v>
      </c>
    </row>
    <row r="27" spans="1:1">
      <c r="A27" s="7"/>
    </row>
    <row r="28" spans="1:1" ht="15">
      <c r="A28" s="9" t="s">
        <v>2331</v>
      </c>
    </row>
    <row r="29" spans="1:1" ht="15">
      <c r="A29" s="9" t="s">
        <v>2332</v>
      </c>
    </row>
    <row r="30" spans="1:1" ht="15">
      <c r="A30" s="9" t="s">
        <v>2333</v>
      </c>
    </row>
    <row r="31" spans="1:1" ht="26.25">
      <c r="A31" s="9" t="s">
        <v>2334</v>
      </c>
    </row>
    <row r="32" spans="1:1">
      <c r="A32" s="10"/>
    </row>
    <row r="33" spans="1:1" ht="20.25">
      <c r="A33" s="8" t="s">
        <v>2335</v>
      </c>
    </row>
    <row r="34" spans="1:1">
      <c r="A34" s="10"/>
    </row>
    <row r="35" spans="1:1" ht="15">
      <c r="A35" s="9" t="s">
        <v>2336</v>
      </c>
    </row>
    <row r="36" spans="1:1" ht="26.25">
      <c r="A36" s="11" t="s">
        <v>2337</v>
      </c>
    </row>
    <row r="37" spans="1:1">
      <c r="A37" s="10"/>
    </row>
    <row r="38" spans="1:1" ht="20.25">
      <c r="A38" s="8" t="s">
        <v>2330</v>
      </c>
    </row>
    <row r="39" spans="1:1">
      <c r="A39" s="7"/>
    </row>
    <row r="40" spans="1:1" ht="15">
      <c r="A40" s="9" t="s">
        <v>2331</v>
      </c>
    </row>
    <row r="41" spans="1:1" ht="15">
      <c r="A41" s="9" t="s">
        <v>2332</v>
      </c>
    </row>
    <row r="42" spans="1:1" ht="15">
      <c r="A42" s="9" t="s">
        <v>2333</v>
      </c>
    </row>
    <row r="43" spans="1:1" ht="26.25">
      <c r="A43" s="9" t="s">
        <v>2334</v>
      </c>
    </row>
    <row r="44" spans="1:1">
      <c r="A44" s="7"/>
    </row>
    <row r="45" spans="1:1">
      <c r="A45" s="7"/>
    </row>
    <row r="46" spans="1:1" ht="20.25">
      <c r="A46" s="8" t="s">
        <v>2338</v>
      </c>
    </row>
    <row r="47" spans="1:1">
      <c r="A47" s="7"/>
    </row>
    <row r="48" spans="1:1">
      <c r="A48" s="7"/>
    </row>
    <row r="49" spans="1:1" ht="15.75">
      <c r="A49" s="9" t="s">
        <v>2339</v>
      </c>
    </row>
    <row r="50" spans="1:1">
      <c r="A50" s="7"/>
    </row>
    <row r="51" spans="1:1" ht="15">
      <c r="A51" s="12" t="s">
        <v>2340</v>
      </c>
    </row>
    <row r="52" spans="1:1">
      <c r="A52" s="7"/>
    </row>
    <row r="53" spans="1:1" ht="15">
      <c r="A53" s="12" t="s">
        <v>2341</v>
      </c>
    </row>
    <row r="54" spans="1:1" ht="15">
      <c r="A54" s="12" t="s">
        <v>2342</v>
      </c>
    </row>
    <row r="55" spans="1:1" ht="15">
      <c r="A55" s="12" t="s">
        <v>2343</v>
      </c>
    </row>
    <row r="56" spans="1:1" ht="15">
      <c r="A56" s="12" t="s">
        <v>2344</v>
      </c>
    </row>
    <row r="57" spans="1:1" ht="15">
      <c r="A57" s="12" t="s">
        <v>2345</v>
      </c>
    </row>
    <row r="58" spans="1:1" ht="15">
      <c r="A58" s="12" t="s">
        <v>2346</v>
      </c>
    </row>
    <row r="59" spans="1:1" ht="15">
      <c r="A59" s="12" t="s">
        <v>2347</v>
      </c>
    </row>
    <row r="60" spans="1:1" ht="15">
      <c r="A60" s="12" t="s">
        <v>2348</v>
      </c>
    </row>
    <row r="61" spans="1:1" ht="15">
      <c r="A61" s="12" t="s">
        <v>2349</v>
      </c>
    </row>
    <row r="62" spans="1:1">
      <c r="A62" s="7"/>
    </row>
    <row r="63" spans="1:1">
      <c r="A63" s="7"/>
    </row>
    <row r="64" spans="1:1" ht="15">
      <c r="A64" s="9" t="s">
        <v>2350</v>
      </c>
    </row>
    <row r="65" spans="1:1">
      <c r="A65" s="7"/>
    </row>
    <row r="66" spans="1:1" ht="15">
      <c r="A66" s="9" t="s">
        <v>2351</v>
      </c>
    </row>
    <row r="67" spans="1:1">
      <c r="A67" s="7"/>
    </row>
    <row r="68" spans="1:1" ht="15">
      <c r="A68" s="13" t="s">
        <v>2352</v>
      </c>
    </row>
    <row r="69" spans="1:1" ht="15">
      <c r="A69" s="13" t="s">
        <v>2353</v>
      </c>
    </row>
    <row r="70" spans="1:1">
      <c r="A70" s="7"/>
    </row>
    <row r="71" spans="1:1" ht="15">
      <c r="A71" s="9" t="s">
        <v>2354</v>
      </c>
    </row>
    <row r="72" spans="1:1" ht="15.75">
      <c r="A72" s="14" t="s">
        <v>2355</v>
      </c>
    </row>
  </sheetData>
  <hyperlinks>
    <hyperlink ref="A53" r:id="rId1"/>
    <hyperlink ref="A54" r:id="rId2"/>
    <hyperlink ref="A55" r:id="rId3"/>
    <hyperlink ref="A56" r:id="rId4"/>
    <hyperlink ref="A57" r:id="rId5"/>
    <hyperlink ref="A58" r:id="rId6"/>
    <hyperlink ref="A59" r:id="rId7"/>
    <hyperlink ref="A60" r:id="rId8"/>
    <hyperlink ref="A61" r:id="rId9"/>
    <hyperlink ref="A51" r:id="rId10"/>
  </hyperlinks>
  <pageMargins left="0.69930555555555596" right="0.69930555555555596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8"/>
  <sheetViews>
    <sheetView zoomScale="145" zoomScaleNormal="145" workbookViewId="0"/>
  </sheetViews>
  <sheetFormatPr defaultColWidth="9.140625" defaultRowHeight="13.5"/>
  <cols>
    <col min="1" max="1" width="14.7109375" style="5" customWidth="1"/>
    <col min="2" max="3" width="42.140625" style="5" customWidth="1"/>
    <col min="4" max="4" width="14.42578125" style="5" customWidth="1"/>
    <col min="5" max="5" width="34.5703125" style="5" customWidth="1"/>
    <col min="6" max="6" width="13.140625" style="5" customWidth="1"/>
    <col min="7" max="16384" width="9.140625" style="5"/>
  </cols>
  <sheetData>
    <row r="1" spans="1:6">
      <c r="A1" s="5" t="s">
        <v>2356</v>
      </c>
      <c r="B1" s="5" t="s">
        <v>2357</v>
      </c>
      <c r="C1" s="5" t="s">
        <v>2358</v>
      </c>
    </row>
    <row r="2" spans="1:6">
      <c r="A2" s="6" t="s">
        <v>2359</v>
      </c>
      <c r="B2" s="6" t="s">
        <v>863</v>
      </c>
      <c r="C2" s="6" t="s">
        <v>2360</v>
      </c>
      <c r="D2" s="6" t="s">
        <v>2359</v>
      </c>
      <c r="E2" s="5" t="str">
        <f>VLOOKUP(D2,A2:C18,2,FALSE)</f>
        <v>SPECTRUM INTERNATIONAL</v>
      </c>
      <c r="F2" s="5" t="str">
        <f>VLOOKUP(E2,B2:D18,2,FALSE)</f>
        <v>Medical Choice</v>
      </c>
    </row>
    <row r="3" spans="1:6">
      <c r="A3" s="6" t="s">
        <v>2359</v>
      </c>
      <c r="B3" s="6" t="s">
        <v>863</v>
      </c>
      <c r="C3" s="6" t="s">
        <v>2360</v>
      </c>
      <c r="D3" s="6" t="s">
        <v>2359</v>
      </c>
      <c r="E3" s="5" t="str">
        <f t="shared" ref="E3:E17" si="0">VLOOKUP(D3,A3:C19,2,FALSE)</f>
        <v>SPECTRUM INTERNATIONAL</v>
      </c>
    </row>
    <row r="4" spans="1:6">
      <c r="A4" s="6" t="s">
        <v>2359</v>
      </c>
      <c r="B4" s="6" t="s">
        <v>863</v>
      </c>
      <c r="C4" s="6" t="s">
        <v>2360</v>
      </c>
      <c r="D4" s="6" t="s">
        <v>2359</v>
      </c>
      <c r="E4" s="5" t="str">
        <f t="shared" si="0"/>
        <v>SPECTRUM INTERNATIONAL</v>
      </c>
    </row>
    <row r="5" spans="1:6">
      <c r="A5" s="6" t="s">
        <v>2361</v>
      </c>
      <c r="B5" s="6" t="s">
        <v>863</v>
      </c>
      <c r="C5" s="6" t="s">
        <v>2360</v>
      </c>
      <c r="D5" s="6" t="s">
        <v>2361</v>
      </c>
      <c r="E5" s="5" t="str">
        <f t="shared" si="0"/>
        <v>SPECTRUM INTERNATIONAL</v>
      </c>
    </row>
    <row r="6" spans="1:6">
      <c r="A6" s="6" t="s">
        <v>2362</v>
      </c>
      <c r="B6" s="6" t="s">
        <v>863</v>
      </c>
      <c r="C6" s="6" t="s">
        <v>2360</v>
      </c>
      <c r="D6" s="6" t="s">
        <v>2362</v>
      </c>
      <c r="E6" s="5" t="str">
        <f t="shared" si="0"/>
        <v>SPECTRUM INTERNATIONAL</v>
      </c>
    </row>
    <row r="7" spans="1:6">
      <c r="A7" s="6" t="s">
        <v>2363</v>
      </c>
      <c r="B7" s="6" t="s">
        <v>2364</v>
      </c>
      <c r="C7" s="6" t="s">
        <v>2364</v>
      </c>
      <c r="D7" s="6" t="s">
        <v>2363</v>
      </c>
      <c r="E7" s="5" t="str">
        <f t="shared" si="0"/>
        <v>EXCIMED SDN BHD</v>
      </c>
    </row>
    <row r="8" spans="1:6">
      <c r="A8" s="6" t="s">
        <v>2365</v>
      </c>
      <c r="B8" s="6" t="s">
        <v>2366</v>
      </c>
      <c r="C8" s="6" t="s">
        <v>2366</v>
      </c>
      <c r="D8" s="6" t="s">
        <v>2365</v>
      </c>
      <c r="E8" s="5" t="str">
        <f t="shared" si="0"/>
        <v>INNOVACIONES NOVEDOSAS UNIVERSALES</v>
      </c>
    </row>
    <row r="9" spans="1:6">
      <c r="A9" s="6" t="s">
        <v>2367</v>
      </c>
      <c r="B9" s="6" t="s">
        <v>1095</v>
      </c>
      <c r="C9" s="6" t="s">
        <v>1095</v>
      </c>
      <c r="D9" s="6" t="s">
        <v>2367</v>
      </c>
      <c r="E9" s="5" t="str">
        <f t="shared" si="0"/>
        <v>EYEPHARMA(PTY) LTD.</v>
      </c>
    </row>
    <row r="10" spans="1:6">
      <c r="A10" s="6" t="s">
        <v>2367</v>
      </c>
      <c r="B10" s="6" t="s">
        <v>1095</v>
      </c>
      <c r="C10" s="6" t="s">
        <v>1095</v>
      </c>
      <c r="D10" s="6" t="s">
        <v>2367</v>
      </c>
      <c r="E10" s="5" t="str">
        <f t="shared" si="0"/>
        <v>EYEPHARMA(PTY) LTD.</v>
      </c>
    </row>
    <row r="11" spans="1:6">
      <c r="A11" s="6" t="s">
        <v>2367</v>
      </c>
      <c r="B11" s="6" t="s">
        <v>1095</v>
      </c>
      <c r="C11" s="6" t="s">
        <v>1095</v>
      </c>
      <c r="D11" s="6" t="s">
        <v>2367</v>
      </c>
      <c r="E11" s="5" t="str">
        <f t="shared" si="0"/>
        <v>EYEPHARMA(PTY) LTD.</v>
      </c>
    </row>
    <row r="12" spans="1:6">
      <c r="A12" s="6" t="s">
        <v>2367</v>
      </c>
      <c r="B12" s="6" t="s">
        <v>1095</v>
      </c>
      <c r="C12" s="6" t="s">
        <v>1095</v>
      </c>
      <c r="D12" s="6" t="s">
        <v>2367</v>
      </c>
      <c r="E12" s="5" t="str">
        <f t="shared" si="0"/>
        <v>EYEPHARMA(PTY) LTD.</v>
      </c>
    </row>
    <row r="13" spans="1:6">
      <c r="A13" s="6" t="s">
        <v>2367</v>
      </c>
      <c r="B13" s="6" t="s">
        <v>1095</v>
      </c>
      <c r="C13" s="6" t="s">
        <v>1095</v>
      </c>
      <c r="D13" s="6" t="s">
        <v>2367</v>
      </c>
      <c r="E13" s="5" t="str">
        <f t="shared" si="0"/>
        <v>EYEPHARMA(PTY) LTD.</v>
      </c>
    </row>
    <row r="14" spans="1:6">
      <c r="A14" s="6" t="s">
        <v>2367</v>
      </c>
      <c r="B14" s="6" t="s">
        <v>1095</v>
      </c>
      <c r="C14" s="6" t="s">
        <v>1095</v>
      </c>
      <c r="D14" s="6" t="s">
        <v>2367</v>
      </c>
      <c r="E14" s="5" t="str">
        <f t="shared" si="0"/>
        <v>EYEPHARMA(PTY) LTD.</v>
      </c>
    </row>
    <row r="15" spans="1:6">
      <c r="A15" s="6" t="s">
        <v>2368</v>
      </c>
      <c r="B15" s="6" t="s">
        <v>1095</v>
      </c>
      <c r="C15" s="6" t="s">
        <v>1095</v>
      </c>
      <c r="D15" s="6" t="s">
        <v>2368</v>
      </c>
      <c r="E15" s="5" t="str">
        <f t="shared" si="0"/>
        <v>EYEPHARMA(PTY) LTD.</v>
      </c>
    </row>
    <row r="16" spans="1:6">
      <c r="A16" s="6" t="s">
        <v>2368</v>
      </c>
      <c r="B16" s="6" t="s">
        <v>1095</v>
      </c>
      <c r="C16" s="6" t="s">
        <v>1095</v>
      </c>
      <c r="D16" s="6" t="s">
        <v>2368</v>
      </c>
      <c r="E16" s="5" t="str">
        <f t="shared" si="0"/>
        <v>EYEPHARMA(PTY) LTD.</v>
      </c>
    </row>
    <row r="17" spans="1:5">
      <c r="A17" s="6" t="s">
        <v>2368</v>
      </c>
      <c r="B17" s="6" t="s">
        <v>1095</v>
      </c>
      <c r="C17" s="6" t="s">
        <v>1095</v>
      </c>
      <c r="D17" s="6" t="s">
        <v>2368</v>
      </c>
      <c r="E17" s="5" t="str">
        <f t="shared" si="0"/>
        <v>EYEPHARMA(PTY) LTD.</v>
      </c>
    </row>
    <row r="18" spans="1:5">
      <c r="A18" s="6" t="s">
        <v>2368</v>
      </c>
      <c r="B18" s="6" t="s">
        <v>1095</v>
      </c>
      <c r="C18" s="6" t="s">
        <v>1095</v>
      </c>
    </row>
  </sheetData>
  <pageMargins left="0.69930555555555596" right="0.69930555555555596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4"/>
  <sheetViews>
    <sheetView workbookViewId="0">
      <selection activeCell="A3" sqref="A3"/>
    </sheetView>
  </sheetViews>
  <sheetFormatPr defaultColWidth="9" defaultRowHeight="12.75"/>
  <sheetData>
    <row r="4" spans="1:1">
      <c r="A4">
        <v>2400</v>
      </c>
    </row>
  </sheetData>
  <pageMargins left="0.69930555555555596" right="0.69930555555555596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5:C9"/>
  <sheetViews>
    <sheetView workbookViewId="0">
      <selection activeCell="B6" sqref="B6"/>
    </sheetView>
  </sheetViews>
  <sheetFormatPr defaultColWidth="9" defaultRowHeight="12.75"/>
  <cols>
    <col min="2" max="2" width="27.7109375" customWidth="1"/>
    <col min="3" max="3" width="12.28515625" customWidth="1"/>
  </cols>
  <sheetData>
    <row r="5" spans="2:3">
      <c r="B5" t="s">
        <v>2369</v>
      </c>
    </row>
    <row r="6" spans="2:3">
      <c r="B6" t="s">
        <v>2370</v>
      </c>
    </row>
    <row r="9" spans="2:3" ht="14.25">
      <c r="C9" s="4" t="s">
        <v>2371</v>
      </c>
    </row>
  </sheetData>
  <pageMargins left="0.69930555555555596" right="0.69930555555555596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>
  <dimension ref="A8:B12"/>
  <sheetViews>
    <sheetView zoomScale="130" zoomScaleNormal="130" workbookViewId="0">
      <selection activeCell="B26" sqref="B26"/>
    </sheetView>
  </sheetViews>
  <sheetFormatPr defaultColWidth="166.28515625" defaultRowHeight="12"/>
  <cols>
    <col min="1" max="1" width="21.42578125" style="1" customWidth="1"/>
    <col min="2" max="2" width="23.140625" style="1" customWidth="1"/>
    <col min="3" max="16384" width="166.28515625" style="1"/>
  </cols>
  <sheetData>
    <row r="8" spans="1:2" ht="12.75">
      <c r="A8" s="2"/>
      <c r="B8" s="2"/>
    </row>
    <row r="9" spans="1:2" ht="12.75">
      <c r="A9" s="599" t="s">
        <v>2372</v>
      </c>
      <c r="B9" s="599"/>
    </row>
    <row r="10" spans="1:2" ht="12.75">
      <c r="A10" s="2"/>
      <c r="B10" s="2"/>
    </row>
    <row r="11" spans="1:2" ht="13.5">
      <c r="A11" s="3" t="s">
        <v>2373</v>
      </c>
      <c r="B11" s="3" t="s">
        <v>2374</v>
      </c>
    </row>
    <row r="12" spans="1:2" ht="13.5">
      <c r="A12" s="3" t="s">
        <v>2375</v>
      </c>
      <c r="B12" s="3" t="s">
        <v>2376</v>
      </c>
    </row>
  </sheetData>
  <mergeCells count="1">
    <mergeCell ref="A9:B9"/>
  </mergeCells>
  <hyperlinks>
    <hyperlink ref="A12" r:id="rId1"/>
    <hyperlink ref="A11" r:id="rId2"/>
  </hyperlinks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5</vt:i4>
      </vt:variant>
    </vt:vector>
  </HeadingPairs>
  <TitlesOfParts>
    <vt:vector size="39" baseType="lpstr">
      <vt:lpstr>Details </vt:lpstr>
      <vt:lpstr>ITEM _____NAME </vt:lpstr>
      <vt:lpstr>Customer   CODE   </vt:lpstr>
      <vt:lpstr>Vehical No ---</vt:lpstr>
      <vt:lpstr>MATERIAL CODE </vt:lpstr>
      <vt:lpstr>MATERIAL____CODE </vt:lpstr>
      <vt:lpstr>Customer   CODE    (2)</vt:lpstr>
      <vt:lpstr>Sheet2</vt:lpstr>
      <vt:lpstr>01.01.2026 __TO   Continue ___</vt:lpstr>
      <vt:lpstr>CALCULATION </vt:lpstr>
      <vt:lpstr>P.LIST CODE </vt:lpstr>
      <vt:lpstr>SAP E - MAIL BATCH </vt:lpstr>
      <vt:lpstr>4.10. 2025 __ DETAILS  (2)</vt:lpstr>
      <vt:lpstr>STO </vt:lpstr>
      <vt:lpstr>SAP     ISSUE </vt:lpstr>
      <vt:lpstr>CREDIT NOTE PROCESS </vt:lpstr>
      <vt:lpstr>Pdf Edit Name Site </vt:lpstr>
      <vt:lpstr>E-way Bill  ______</vt:lpstr>
      <vt:lpstr>Documents Submission </vt:lpstr>
      <vt:lpstr>Vehical No </vt:lpstr>
      <vt:lpstr>EXPORT DOCUMENTS PROCESS </vt:lpstr>
      <vt:lpstr>HSN Code </vt:lpstr>
      <vt:lpstr>SAP Process </vt:lpstr>
      <vt:lpstr>STO Calculation </vt:lpstr>
      <vt:lpstr>ITEM NAME</vt:lpstr>
      <vt:lpstr>Sheet1</vt:lpstr>
      <vt:lpstr>ONE DRIVE ID - PASSEORD </vt:lpstr>
      <vt:lpstr>ALL____ORDER_PROCESS </vt:lpstr>
      <vt:lpstr>PURCHASE ORDER  _______CPPL</vt:lpstr>
      <vt:lpstr>E-MAIL___________CPPL </vt:lpstr>
      <vt:lpstr>VLOOKUP FORMULA  </vt:lpstr>
      <vt:lpstr>SOCIETY ACCOUNT </vt:lpstr>
      <vt:lpstr>Resume Make Website Name </vt:lpstr>
      <vt:lpstr>SALARY  CHECK </vt:lpstr>
      <vt:lpstr>_</vt:lpstr>
      <vt:lpstr>asas</vt:lpstr>
      <vt:lpstr>'MATERIAL CODE '!Criteria</vt:lpstr>
      <vt:lpstr>'Details '!LA_MERE_HEALTHCARE_PRIVATE_LIMITED</vt:lpstr>
      <vt:lpstr>'Vehical No ---'!Print_Area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Vala</dc:creator>
  <cp:lastModifiedBy>gautam</cp:lastModifiedBy>
  <cp:revision>1</cp:revision>
  <cp:lastPrinted>2026-02-26T03:52:00Z</cp:lastPrinted>
  <dcterms:created xsi:type="dcterms:W3CDTF">2024-10-18T03:53:00Z</dcterms:created>
  <dcterms:modified xsi:type="dcterms:W3CDTF">2026-03-27T06:24:30Z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1033-10.1.0.5652</vt:lpwstr>
  </property>
</Properties>
</file>